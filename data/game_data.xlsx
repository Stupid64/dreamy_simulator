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tudy\rpg_game\data\"/>
    </mc:Choice>
  </mc:AlternateContent>
  <xr:revisionPtr revIDLastSave="0" documentId="13_ncr:1_{40241D17-E5E3-4336-86AF-275F462E713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onsters" sheetId="1" r:id="rId1"/>
    <sheet name="equipments" sheetId="2" r:id="rId2"/>
    <sheet name="skills" sheetId="3" r:id="rId3"/>
    <sheet name="装备技能索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8" i="1" l="1"/>
  <c r="L128" i="1"/>
  <c r="K128" i="1"/>
  <c r="L127" i="1"/>
  <c r="M127" i="1" s="1"/>
  <c r="K127" i="1"/>
  <c r="M126" i="1"/>
  <c r="L126" i="1"/>
  <c r="K126" i="1"/>
  <c r="L125" i="1"/>
  <c r="M125" i="1" s="1"/>
  <c r="K125" i="1"/>
  <c r="L124" i="1"/>
  <c r="M124" i="1" s="1"/>
  <c r="K124" i="1"/>
  <c r="L123" i="1"/>
  <c r="M123" i="1" s="1"/>
  <c r="K123" i="1"/>
  <c r="M122" i="1"/>
  <c r="L122" i="1"/>
  <c r="K122" i="1"/>
  <c r="L121" i="1"/>
  <c r="M121" i="1" s="1"/>
  <c r="K121" i="1"/>
  <c r="L120" i="1"/>
  <c r="M120" i="1" s="1"/>
  <c r="K120" i="1"/>
  <c r="L119" i="1"/>
  <c r="M119" i="1" s="1"/>
  <c r="K119" i="1"/>
  <c r="L118" i="1"/>
  <c r="M118" i="1" s="1"/>
  <c r="K118" i="1"/>
  <c r="L117" i="1"/>
  <c r="M117" i="1" s="1"/>
  <c r="K117" i="1"/>
  <c r="L116" i="1"/>
  <c r="M116" i="1" s="1"/>
  <c r="K116" i="1"/>
  <c r="L115" i="1"/>
  <c r="M115" i="1" s="1"/>
  <c r="K115" i="1"/>
  <c r="L114" i="1"/>
  <c r="M114" i="1" s="1"/>
  <c r="K114" i="1"/>
  <c r="L113" i="1"/>
  <c r="M113" i="1" s="1"/>
  <c r="K113" i="1"/>
  <c r="M112" i="1"/>
  <c r="L112" i="1"/>
  <c r="K112" i="1"/>
  <c r="L111" i="1"/>
  <c r="M111" i="1" s="1"/>
  <c r="K111" i="1"/>
  <c r="L110" i="1"/>
  <c r="M110" i="1" s="1"/>
  <c r="K110" i="1"/>
  <c r="M109" i="1"/>
  <c r="L109" i="1"/>
  <c r="K109" i="1"/>
  <c r="M108" i="1"/>
  <c r="L108" i="1"/>
  <c r="K108" i="1"/>
  <c r="L107" i="1"/>
  <c r="M107" i="1" s="1"/>
  <c r="K107" i="1"/>
  <c r="L106" i="1"/>
  <c r="M106" i="1" s="1"/>
  <c r="K106" i="1"/>
  <c r="L105" i="1"/>
  <c r="M105" i="1" s="1"/>
  <c r="K105" i="1"/>
  <c r="L104" i="1"/>
  <c r="M104" i="1" s="1"/>
  <c r="K104" i="1"/>
  <c r="L103" i="1"/>
  <c r="M103" i="1" s="1"/>
  <c r="K103" i="1"/>
  <c r="M102" i="1"/>
  <c r="L102" i="1"/>
  <c r="K102" i="1"/>
  <c r="L101" i="1"/>
  <c r="M101" i="1" s="1"/>
  <c r="K101" i="1"/>
  <c r="L100" i="1"/>
  <c r="M100" i="1" s="1"/>
  <c r="K100" i="1"/>
  <c r="L99" i="1"/>
  <c r="M99" i="1" s="1"/>
  <c r="K99" i="1"/>
  <c r="L98" i="1"/>
  <c r="M98" i="1" s="1"/>
  <c r="K98" i="1"/>
  <c r="L97" i="1"/>
  <c r="M97" i="1" s="1"/>
  <c r="K97" i="1"/>
  <c r="L96" i="1"/>
  <c r="M96" i="1" s="1"/>
  <c r="K96" i="1"/>
  <c r="L95" i="1"/>
  <c r="M95" i="1" s="1"/>
  <c r="K95" i="1"/>
  <c r="L94" i="1"/>
  <c r="M94" i="1" s="1"/>
  <c r="K94" i="1"/>
  <c r="L93" i="1"/>
  <c r="M93" i="1" s="1"/>
  <c r="K93" i="1"/>
  <c r="M92" i="1"/>
  <c r="L92" i="1"/>
  <c r="K92" i="1"/>
  <c r="L91" i="1"/>
  <c r="M91" i="1" s="1"/>
  <c r="K91" i="1"/>
  <c r="L90" i="1"/>
  <c r="M90" i="1" s="1"/>
  <c r="K90" i="1"/>
  <c r="M89" i="1"/>
  <c r="L89" i="1"/>
  <c r="K89" i="1"/>
  <c r="M88" i="1"/>
  <c r="L88" i="1"/>
  <c r="K88" i="1"/>
  <c r="L87" i="1"/>
  <c r="M87" i="1" s="1"/>
  <c r="K87" i="1"/>
  <c r="L86" i="1"/>
  <c r="M86" i="1" s="1"/>
  <c r="K86" i="1"/>
  <c r="L85" i="1"/>
  <c r="M85" i="1" s="1"/>
  <c r="K85" i="1"/>
  <c r="L84" i="1"/>
  <c r="M84" i="1" s="1"/>
  <c r="K84" i="1"/>
  <c r="L83" i="1"/>
  <c r="M83" i="1" s="1"/>
  <c r="K83" i="1"/>
  <c r="M82" i="1"/>
  <c r="L82" i="1"/>
  <c r="K82" i="1"/>
  <c r="L81" i="1"/>
  <c r="M81" i="1" s="1"/>
  <c r="K81" i="1"/>
  <c r="L80" i="1"/>
  <c r="M80" i="1" s="1"/>
  <c r="K80" i="1"/>
  <c r="L79" i="1"/>
  <c r="M79" i="1" s="1"/>
  <c r="K79" i="1"/>
  <c r="L78" i="1"/>
  <c r="M78" i="1" s="1"/>
  <c r="K78" i="1"/>
  <c r="L77" i="1"/>
  <c r="M77" i="1" s="1"/>
  <c r="K77" i="1"/>
  <c r="L76" i="1"/>
  <c r="M76" i="1" s="1"/>
  <c r="K76" i="1"/>
  <c r="L75" i="1"/>
  <c r="M75" i="1" s="1"/>
  <c r="K75" i="1"/>
  <c r="L74" i="1"/>
  <c r="M74" i="1" s="1"/>
  <c r="K74" i="1"/>
  <c r="L73" i="1"/>
  <c r="M73" i="1" s="1"/>
  <c r="K73" i="1"/>
  <c r="M72" i="1"/>
  <c r="L72" i="1"/>
  <c r="K72" i="1"/>
  <c r="L71" i="1"/>
  <c r="M71" i="1" s="1"/>
  <c r="K71" i="1"/>
  <c r="L70" i="1"/>
  <c r="M70" i="1" s="1"/>
  <c r="K70" i="1"/>
  <c r="M69" i="1"/>
  <c r="L69" i="1"/>
  <c r="K69" i="1"/>
  <c r="M68" i="1"/>
  <c r="L68" i="1"/>
  <c r="K68" i="1"/>
  <c r="L67" i="1"/>
  <c r="M67" i="1" s="1"/>
  <c r="K67" i="1"/>
  <c r="L66" i="1"/>
  <c r="M66" i="1" s="1"/>
  <c r="K66" i="1"/>
  <c r="L65" i="1"/>
  <c r="M65" i="1" s="1"/>
  <c r="K65" i="1"/>
  <c r="L64" i="1"/>
  <c r="M64" i="1" s="1"/>
  <c r="K64" i="1"/>
  <c r="L63" i="1"/>
  <c r="M63" i="1" s="1"/>
  <c r="K63" i="1"/>
  <c r="M62" i="1"/>
  <c r="L62" i="1"/>
  <c r="K62" i="1"/>
  <c r="L61" i="1"/>
  <c r="M61" i="1" s="1"/>
  <c r="K61" i="1"/>
  <c r="L60" i="1"/>
  <c r="M60" i="1" s="1"/>
  <c r="K60" i="1"/>
  <c r="L59" i="1"/>
  <c r="M59" i="1" s="1"/>
  <c r="K59" i="1"/>
  <c r="L58" i="1"/>
  <c r="M58" i="1" s="1"/>
  <c r="K58" i="1"/>
  <c r="L57" i="1"/>
  <c r="M57" i="1" s="1"/>
  <c r="K57" i="1"/>
  <c r="L56" i="1"/>
  <c r="M56" i="1" s="1"/>
  <c r="K56" i="1"/>
  <c r="L55" i="1"/>
  <c r="M55" i="1" s="1"/>
  <c r="K55" i="1"/>
  <c r="L54" i="1"/>
  <c r="M54" i="1" s="1"/>
  <c r="K54" i="1"/>
  <c r="L53" i="1"/>
  <c r="M53" i="1" s="1"/>
  <c r="K53" i="1"/>
  <c r="M52" i="1"/>
  <c r="L52" i="1"/>
  <c r="K52" i="1"/>
  <c r="L51" i="1"/>
  <c r="M51" i="1" s="1"/>
  <c r="K51" i="1"/>
  <c r="L50" i="1"/>
  <c r="M50" i="1" s="1"/>
  <c r="K50" i="1"/>
  <c r="M49" i="1"/>
  <c r="L49" i="1"/>
  <c r="K49" i="1"/>
  <c r="M48" i="1"/>
  <c r="L48" i="1"/>
  <c r="K48" i="1"/>
  <c r="L47" i="1"/>
  <c r="M47" i="1" s="1"/>
  <c r="K47" i="1"/>
  <c r="L46" i="1"/>
  <c r="M46" i="1" s="1"/>
  <c r="K46" i="1"/>
  <c r="L45" i="1"/>
  <c r="M45" i="1" s="1"/>
  <c r="K45" i="1"/>
  <c r="L44" i="1"/>
  <c r="M44" i="1" s="1"/>
  <c r="K44" i="1"/>
  <c r="L43" i="1"/>
  <c r="M43" i="1" s="1"/>
  <c r="K43" i="1"/>
  <c r="M42" i="1"/>
  <c r="L42" i="1"/>
  <c r="K42" i="1"/>
  <c r="L41" i="1"/>
  <c r="M41" i="1" s="1"/>
  <c r="K41" i="1"/>
  <c r="L40" i="1"/>
  <c r="M40" i="1" s="1"/>
  <c r="K40" i="1"/>
  <c r="L39" i="1"/>
  <c r="M39" i="1" s="1"/>
  <c r="K39" i="1"/>
  <c r="L38" i="1"/>
  <c r="M38" i="1" s="1"/>
  <c r="K38" i="1"/>
  <c r="L37" i="1"/>
  <c r="M37" i="1" s="1"/>
  <c r="K37" i="1"/>
  <c r="L36" i="1"/>
  <c r="M36" i="1" s="1"/>
  <c r="K36" i="1"/>
  <c r="L35" i="1"/>
  <c r="M35" i="1" s="1"/>
  <c r="K35" i="1"/>
  <c r="L34" i="1"/>
  <c r="M34" i="1" s="1"/>
  <c r="K34" i="1"/>
  <c r="L33" i="1"/>
  <c r="M33" i="1" s="1"/>
  <c r="K33" i="1"/>
  <c r="M32" i="1"/>
  <c r="L32" i="1"/>
  <c r="K32" i="1"/>
  <c r="L31" i="1"/>
  <c r="M31" i="1" s="1"/>
  <c r="K31" i="1"/>
  <c r="L30" i="1"/>
  <c r="M30" i="1" s="1"/>
  <c r="K30" i="1"/>
  <c r="M29" i="1"/>
  <c r="L29" i="1"/>
  <c r="K29" i="1"/>
  <c r="M28" i="1"/>
  <c r="L28" i="1"/>
  <c r="K28" i="1"/>
  <c r="L27" i="1"/>
  <c r="M27" i="1" s="1"/>
  <c r="K27" i="1"/>
  <c r="L26" i="1"/>
  <c r="M26" i="1" s="1"/>
  <c r="K26" i="1"/>
  <c r="L25" i="1"/>
  <c r="M25" i="1" s="1"/>
  <c r="K25" i="1"/>
  <c r="L24" i="1"/>
  <c r="M24" i="1" s="1"/>
  <c r="K24" i="1"/>
  <c r="L23" i="1"/>
  <c r="M23" i="1" s="1"/>
  <c r="K23" i="1"/>
  <c r="M22" i="1"/>
  <c r="L22" i="1"/>
  <c r="K22" i="1"/>
  <c r="L21" i="1"/>
  <c r="M21" i="1" s="1"/>
  <c r="K21" i="1"/>
  <c r="L20" i="1"/>
  <c r="M20" i="1" s="1"/>
  <c r="K20" i="1"/>
  <c r="L19" i="1"/>
  <c r="M19" i="1" s="1"/>
  <c r="K19" i="1"/>
  <c r="L18" i="1"/>
  <c r="M18" i="1" s="1"/>
  <c r="K18" i="1"/>
  <c r="L17" i="1"/>
  <c r="M17" i="1" s="1"/>
  <c r="K17" i="1"/>
  <c r="L16" i="1"/>
  <c r="M16" i="1" s="1"/>
  <c r="K16" i="1"/>
  <c r="L15" i="1"/>
  <c r="M15" i="1" s="1"/>
  <c r="K15" i="1"/>
  <c r="L14" i="1"/>
  <c r="M14" i="1" s="1"/>
  <c r="K14" i="1"/>
  <c r="L13" i="1"/>
  <c r="M13" i="1" s="1"/>
  <c r="K13" i="1"/>
  <c r="M12" i="1"/>
  <c r="L12" i="1"/>
  <c r="K12" i="1"/>
  <c r="L11" i="1"/>
  <c r="M11" i="1" s="1"/>
  <c r="K11" i="1"/>
  <c r="L10" i="1"/>
  <c r="M10" i="1" s="1"/>
  <c r="K10" i="1"/>
  <c r="M9" i="1"/>
  <c r="L9" i="1"/>
  <c r="K9" i="1"/>
  <c r="M8" i="1"/>
  <c r="L8" i="1"/>
  <c r="K8" i="1"/>
  <c r="L7" i="1"/>
  <c r="M7" i="1" s="1"/>
  <c r="K7" i="1"/>
  <c r="L6" i="1"/>
  <c r="M6" i="1" s="1"/>
  <c r="K6" i="1"/>
  <c r="L5" i="1"/>
  <c r="M5" i="1" s="1"/>
  <c r="K5" i="1"/>
  <c r="L4" i="1"/>
  <c r="M4" i="1" s="1"/>
  <c r="K4" i="1"/>
  <c r="L3" i="1"/>
  <c r="M3" i="1" s="1"/>
  <c r="K3" i="1"/>
  <c r="M2" i="1"/>
  <c r="L2" i="1"/>
  <c r="K2" i="1"/>
</calcChain>
</file>

<file path=xl/sharedStrings.xml><?xml version="1.0" encoding="utf-8"?>
<sst xmlns="http://schemas.openxmlformats.org/spreadsheetml/2006/main" count="1816" uniqueCount="916">
  <si>
    <t>编号</t>
  </si>
  <si>
    <t>名称</t>
  </si>
  <si>
    <t>部位</t>
  </si>
  <si>
    <t>基础价格</t>
  </si>
  <si>
    <t>生命</t>
  </si>
  <si>
    <t>攻击</t>
  </si>
  <si>
    <t>防御</t>
  </si>
  <si>
    <t>能量</t>
  </si>
  <si>
    <t>暴击</t>
  </si>
  <si>
    <t>穿透</t>
  </si>
  <si>
    <t>敏捷</t>
  </si>
  <si>
    <t>套装</t>
  </si>
  <si>
    <t>0</t>
  </si>
  <si>
    <t>匕首</t>
  </si>
  <si>
    <t>武器</t>
  </si>
  <si>
    <t>1</t>
  </si>
  <si>
    <t>短剑</t>
  </si>
  <si>
    <t>2</t>
  </si>
  <si>
    <t>铁剑</t>
  </si>
  <si>
    <t>3</t>
  </si>
  <si>
    <t>钢刃</t>
  </si>
  <si>
    <t>4</t>
  </si>
  <si>
    <t>布甲</t>
  </si>
  <si>
    <t>护甲</t>
  </si>
  <si>
    <t>5</t>
  </si>
  <si>
    <t>皮甲</t>
  </si>
  <si>
    <t>6</t>
  </si>
  <si>
    <t>鳞甲</t>
  </si>
  <si>
    <t>7</t>
  </si>
  <si>
    <t>精制铁甲</t>
  </si>
  <si>
    <t>8</t>
  </si>
  <si>
    <t>布帽</t>
  </si>
  <si>
    <t>头盔</t>
  </si>
  <si>
    <t>9</t>
  </si>
  <si>
    <t>皮帽</t>
  </si>
  <si>
    <t>10</t>
  </si>
  <si>
    <t>骨盔</t>
  </si>
  <si>
    <t>11</t>
  </si>
  <si>
    <t>铁盔</t>
  </si>
  <si>
    <t>12</t>
  </si>
  <si>
    <t>布靴</t>
  </si>
  <si>
    <t>鞋子</t>
  </si>
  <si>
    <t>13</t>
  </si>
  <si>
    <t>皮靴</t>
  </si>
  <si>
    <t>14</t>
  </si>
  <si>
    <t>沙行靴</t>
  </si>
  <si>
    <t>15</t>
  </si>
  <si>
    <t>铁靴</t>
  </si>
  <si>
    <t>16</t>
  </si>
  <si>
    <t>星光戒指</t>
  </si>
  <si>
    <t>饰品</t>
  </si>
  <si>
    <t>17</t>
  </si>
  <si>
    <t>石英项链</t>
  </si>
  <si>
    <t>18</t>
  </si>
  <si>
    <t>清泉坠</t>
  </si>
  <si>
    <t>19</t>
  </si>
  <si>
    <t>失落者的庇护</t>
  </si>
  <si>
    <t>20</t>
  </si>
  <si>
    <t>隐秘-守护重锤</t>
  </si>
  <si>
    <t>装备技能：被动｜守护｜增加5%最终受伤减免；最终受伤 -5%</t>
  </si>
  <si>
    <t>21</t>
  </si>
  <si>
    <t>寒光匕首</t>
  </si>
  <si>
    <t>22</t>
  </si>
  <si>
    <t>冰之手杖</t>
  </si>
  <si>
    <t>23</t>
  </si>
  <si>
    <t>极地冰甲</t>
  </si>
  <si>
    <t>24</t>
  </si>
  <si>
    <t>寒冰头盔</t>
  </si>
  <si>
    <t>25</t>
  </si>
  <si>
    <t>冰霜行者</t>
  </si>
  <si>
    <t>26</t>
  </si>
  <si>
    <t>精灵祝福</t>
  </si>
  <si>
    <t>27</t>
  </si>
  <si>
    <t>暴龙之牙</t>
  </si>
  <si>
    <t>28</t>
  </si>
  <si>
    <t>冰封之心</t>
  </si>
  <si>
    <t>29</t>
  </si>
  <si>
    <t>隐秘-明目之冕</t>
  </si>
  <si>
    <t>装备技能：被动｜看破｜提高5%的暴击和5%的穿透属性；暴击+5%；破甲+5%</t>
  </si>
  <si>
    <t>30</t>
  </si>
  <si>
    <t>天冰剑</t>
  </si>
  <si>
    <t>31</t>
  </si>
  <si>
    <t>黄沙铠甲</t>
  </si>
  <si>
    <t>32</t>
  </si>
  <si>
    <t>沙漠弧光</t>
  </si>
  <si>
    <t>33</t>
  </si>
  <si>
    <t>失落之剑</t>
  </si>
  <si>
    <t>34</t>
  </si>
  <si>
    <t>巨兽战甲</t>
  </si>
  <si>
    <t>35</t>
  </si>
  <si>
    <t>冰雪灵纱</t>
  </si>
  <si>
    <t>36</t>
  </si>
  <si>
    <t>暴龙恐爪</t>
  </si>
  <si>
    <t>37</t>
  </si>
  <si>
    <t>藤甲</t>
  </si>
  <si>
    <t>38</t>
  </si>
  <si>
    <t>冰灵回响</t>
  </si>
  <si>
    <t>39</t>
  </si>
  <si>
    <t>灵冰头盔</t>
  </si>
  <si>
    <t>40</t>
  </si>
  <si>
    <t>符石之剑</t>
  </si>
  <si>
    <t>41</t>
  </si>
  <si>
    <t>巨石之铠</t>
  </si>
  <si>
    <t>42</t>
  </si>
  <si>
    <t>岩之心</t>
  </si>
  <si>
    <t>43</t>
  </si>
  <si>
    <t>斫岩巨刃</t>
  </si>
  <si>
    <t>44</t>
  </si>
  <si>
    <t>探险者斗篷</t>
  </si>
  <si>
    <t>45</t>
  </si>
  <si>
    <t>玄铁轻刀</t>
  </si>
  <si>
    <t>46</t>
  </si>
  <si>
    <t>上古岩铠</t>
  </si>
  <si>
    <t>套装【黑曜石盾刃 + 黑曜石头盔 + 上古岩铠】｜被动｜磐石｜增加20点格挡；最终受伤 -20</t>
  </si>
  <si>
    <t>47</t>
  </si>
  <si>
    <t>灼火地煞</t>
  </si>
  <si>
    <t>套装【灼火地煞 + 炎阳明珠】｜主动｜灼炎领域｜耗能30｜CD15｜附伤增加0.5*攻击伤害和0.1*最大能量真实伤害，敌方获得重伤，持续8回合；普攻附加 0.5*攻击 伤害；普攻附加 0.1*最大能量 真实伤害；治疗 -50%</t>
  </si>
  <si>
    <t>48</t>
  </si>
  <si>
    <t>隐秘-亘古守卫之靴</t>
  </si>
  <si>
    <t>装备技能：主动｜亘古庇佑｜耗能20｜CD20｜增加100%最终受伤减免，持续2回合；最终受伤 -100%</t>
  </si>
  <si>
    <t>49</t>
  </si>
  <si>
    <t>炎阳明珠</t>
  </si>
  <si>
    <t>50</t>
  </si>
  <si>
    <t>黑曜石盾刃</t>
  </si>
  <si>
    <t>51</t>
  </si>
  <si>
    <t>狂暴战锤</t>
  </si>
  <si>
    <t>52</t>
  </si>
  <si>
    <t>黑曜石头盔</t>
  </si>
  <si>
    <t>53</t>
  </si>
  <si>
    <t>璞玉护目镜</t>
  </si>
  <si>
    <t>54</t>
  </si>
  <si>
    <t>腐朽弯刀</t>
  </si>
  <si>
    <t>55</t>
  </si>
  <si>
    <t>魔蝙之刃</t>
  </si>
  <si>
    <t>56</t>
  </si>
  <si>
    <t>魔将战斧</t>
  </si>
  <si>
    <t>57</t>
  </si>
  <si>
    <t>魔王巨刃</t>
  </si>
  <si>
    <t>套装【魔王巨刃 + 亡者战魂】｜主动｜魔王斩｜耗能5｜CD5｜造成(1.2*攻击+1*穿透)伤害；造成攻击×1.2 + 破甲伤害</t>
  </si>
  <si>
    <t>58</t>
  </si>
  <si>
    <t>死亡铠甲</t>
  </si>
  <si>
    <t>59</t>
  </si>
  <si>
    <t>统领者战袍</t>
  </si>
  <si>
    <t>套装【统领者战袍 + 统领者战靴 + 统帅之盔】｜被动｜统御者｜增加10%最终伤害增幅；最终伤害 +10%</t>
  </si>
  <si>
    <t>60</t>
  </si>
  <si>
    <t>孤魂之心</t>
  </si>
  <si>
    <t>61</t>
  </si>
  <si>
    <t>亡者战魂</t>
  </si>
  <si>
    <t>62</t>
  </si>
  <si>
    <t>隐秘-终界谕令残篇</t>
  </si>
  <si>
    <t>装备技能：主动｜无量通行｜耗能10｜CD20｜增加(10+饰品强化等级)%的敏捷，并必中，持续3回合；敏捷提升 10+饰品强化等级%；施加必中</t>
  </si>
  <si>
    <t>63</t>
  </si>
  <si>
    <t>亡灵巡旅者</t>
  </si>
  <si>
    <t>64</t>
  </si>
  <si>
    <t>恐惧游行</t>
  </si>
  <si>
    <t>65</t>
  </si>
  <si>
    <t>统领者战靴</t>
  </si>
  <si>
    <t>66</t>
  </si>
  <si>
    <t>统帅之盔</t>
  </si>
  <si>
    <t>67</t>
  </si>
  <si>
    <t>碎岩战靴</t>
  </si>
  <si>
    <t>68</t>
  </si>
  <si>
    <t>武士之靴</t>
  </si>
  <si>
    <t>69</t>
  </si>
  <si>
    <t>恶魔之冕</t>
  </si>
  <si>
    <t>70</t>
  </si>
  <si>
    <t>魔将铠甲</t>
  </si>
  <si>
    <t>71</t>
  </si>
  <si>
    <t>繁荣腐化之心</t>
  </si>
  <si>
    <t>套装【繁荣腐化之心 + 繁荣腐化铠甲】｜主动｜繁荣不息｜耗能护甲强化等级｜CD30｜每回合恢复(0.1*护甲强化等级)%最大生命值，持续30回合，并立刻恢复3%最大生命值；每回合恢复(0.1*护甲强化等级)%生命值；回复最大生命×0.03生命</t>
  </si>
  <si>
    <t>72</t>
  </si>
  <si>
    <t>繁荣腐化铠甲</t>
  </si>
  <si>
    <t>73</t>
  </si>
  <si>
    <t>飓风长鞭</t>
  </si>
  <si>
    <t>74</t>
  </si>
  <si>
    <t>风暴短刃</t>
  </si>
  <si>
    <t>75</t>
  </si>
  <si>
    <t>定风战锤</t>
  </si>
  <si>
    <t>76</t>
  </si>
  <si>
    <t>猩红铠甲</t>
  </si>
  <si>
    <t>77</t>
  </si>
  <si>
    <t>定风重铠</t>
  </si>
  <si>
    <t>78</t>
  </si>
  <si>
    <t>堕风神甲</t>
  </si>
  <si>
    <t>套装【堕风神甲 + 飓风神石】｜被动｜神风｜增加10%敏捷；敏捷+10%</t>
  </si>
  <si>
    <t>79</t>
  </si>
  <si>
    <t>避风珠</t>
  </si>
  <si>
    <t>80</t>
  </si>
  <si>
    <t>飓风神石</t>
  </si>
  <si>
    <t>81</t>
  </si>
  <si>
    <t>逆行斩</t>
  </si>
  <si>
    <t>82</t>
  </si>
  <si>
    <t>隐秘-风暴降临之铠</t>
  </si>
  <si>
    <t>装备技能：主动｜风暴降临｜耗能100｜CD100｜附伤增加（0.07*敏捷+武器强化等级）真实伤害，持续50回合；普攻附加 0.07*敏捷+武器强化 真实伤害</t>
  </si>
  <si>
    <t>83</t>
  </si>
  <si>
    <t>苍岚战盔</t>
  </si>
  <si>
    <t>84</t>
  </si>
  <si>
    <t>灵风鬓冠</t>
  </si>
  <si>
    <t>套装【灵风鬓冠 + 灵风法杖】｜主动｜灵风｜耗能1｜CD10｜眩晕敌方2回合；施加眩晕</t>
  </si>
  <si>
    <t>85</t>
  </si>
  <si>
    <t>啸风玄履</t>
  </si>
  <si>
    <t>86</t>
  </si>
  <si>
    <t>仙灵之轻盈</t>
  </si>
  <si>
    <t>87</t>
  </si>
  <si>
    <t>九天罡风靴</t>
  </si>
  <si>
    <t>88</t>
  </si>
  <si>
    <t>风暴战刃</t>
  </si>
  <si>
    <t>89</t>
  </si>
  <si>
    <t>灵风法杖</t>
  </si>
  <si>
    <t>90</t>
  </si>
  <si>
    <t>狂风长戟</t>
  </si>
  <si>
    <t>91</t>
  </si>
  <si>
    <t>狂热核心</t>
  </si>
  <si>
    <t>92</t>
  </si>
  <si>
    <t>游离项链</t>
  </si>
  <si>
    <t>93</t>
  </si>
  <si>
    <t>飓风灵石</t>
  </si>
  <si>
    <t>94</t>
  </si>
  <si>
    <t>堕刃</t>
  </si>
  <si>
    <t>95</t>
  </si>
  <si>
    <t>极光战刃</t>
  </si>
  <si>
    <t>96</t>
  </si>
  <si>
    <t>一寸朝夕</t>
  </si>
  <si>
    <t>套装【一寸朝夕 + 一寸暮色】｜被动｜光阴之力｜提升15防御，敏捷，破甲；攻击+15；破甲+15；敏捷+15</t>
  </si>
  <si>
    <t>97</t>
  </si>
  <si>
    <t>夜色轻袍</t>
  </si>
  <si>
    <t>98</t>
  </si>
  <si>
    <t>合金之铠</t>
  </si>
  <si>
    <t>99</t>
  </si>
  <si>
    <t>一寸暮色</t>
  </si>
  <si>
    <t>100</t>
  </si>
  <si>
    <t>暗夜宝珠</t>
  </si>
  <si>
    <t>101</t>
  </si>
  <si>
    <t>白昼宝珠</t>
  </si>
  <si>
    <t>102</t>
  </si>
  <si>
    <t>隐秘-光暗边界</t>
  </si>
  <si>
    <t>装备技能：主动｜光暗侵蚀｜耗能40｜CD8｜造成 攻击*1.5 + 最大能量*2 的伤害，并使自身最终受伤 -30%，持续4回合；造成攻击×1.5 + 最大能量×2固定伤害；最终受伤 -30%</t>
  </si>
  <si>
    <t>103</t>
  </si>
  <si>
    <t>晨露之冕</t>
  </si>
  <si>
    <t>104</t>
  </si>
  <si>
    <t>暮光游行</t>
  </si>
  <si>
    <t>105</t>
  </si>
  <si>
    <t>巡猎者之刃</t>
  </si>
  <si>
    <t>106</t>
  </si>
  <si>
    <t>晨光之盾</t>
  </si>
  <si>
    <t>107</t>
  </si>
  <si>
    <t>光阴之剑</t>
  </si>
  <si>
    <t>108</t>
  </si>
  <si>
    <t>日月披挂</t>
  </si>
  <si>
    <t>109</t>
  </si>
  <si>
    <t>攀岩者之靴</t>
  </si>
  <si>
    <t>110</t>
  </si>
  <si>
    <t>疾风靴</t>
  </si>
  <si>
    <t>111</t>
  </si>
  <si>
    <t>晨露靴</t>
  </si>
  <si>
    <t>112</t>
  </si>
  <si>
    <t>极炎飓风斩</t>
  </si>
  <si>
    <t>装备技能：被动｜神风烈火｜攻击力提升30+0.06*能量；攻击+30+0.06×最大能量</t>
  </si>
  <si>
    <t>113</t>
  </si>
  <si>
    <t>黑暗长戟</t>
  </si>
  <si>
    <t>114</t>
  </si>
  <si>
    <t>魔猎之弓</t>
  </si>
  <si>
    <t>115</t>
  </si>
  <si>
    <t>腥风铠甲</t>
  </si>
  <si>
    <t>116</t>
  </si>
  <si>
    <t>剑之极御</t>
  </si>
  <si>
    <t>117</t>
  </si>
  <si>
    <t>终极铠甲</t>
  </si>
  <si>
    <t>118</t>
  </si>
  <si>
    <t>骇之石</t>
  </si>
  <si>
    <t>119</t>
  </si>
  <si>
    <t>猎手铭文</t>
  </si>
  <si>
    <t>120</t>
  </si>
  <si>
    <t>黑暗低语</t>
  </si>
  <si>
    <t>121</t>
  </si>
  <si>
    <t>隐秘-亚龙冠冕</t>
  </si>
  <si>
    <t>装备技能：被动｜亚龙威仪｜第一回合攻击力提升50%；攻击 +50%</t>
  </si>
  <si>
    <t>122</t>
  </si>
  <si>
    <t>混沌宝珠</t>
  </si>
  <si>
    <t>装备技能：被动｜混沌初开｜第一回合额外获得(能量*0.1)%防御；防御 +能量*0.1%</t>
  </si>
  <si>
    <t>123</t>
  </si>
  <si>
    <t>神器-神锋剑</t>
  </si>
  <si>
    <t>124</t>
  </si>
  <si>
    <t>神器-龙神圣剑</t>
  </si>
  <si>
    <t>125</t>
  </si>
  <si>
    <t>神器-魔剑</t>
  </si>
  <si>
    <t>126</t>
  </si>
  <si>
    <t>界律仲裁之枪</t>
  </si>
  <si>
    <t>套装【界律仲裁之枪 + 界律镇守之冠】｜被动｜仲裁｜第三回合开始，目标防御-15%。；防御 -15%</t>
  </si>
  <si>
    <t>127</t>
  </si>
  <si>
    <t>界律镇守之冠</t>
  </si>
  <si>
    <t>128</t>
  </si>
  <si>
    <t>禁界踏破战靴</t>
  </si>
  <si>
    <t>套装【守界黄昏 + 禁界踏破战靴】｜主动｜黄昏禁锢｜耗能20｜CD30｜眩晕目标3回合，期间目标受到伤害+15%。；无法行动；最终受伤 +15%</t>
  </si>
  <si>
    <t>129</t>
  </si>
  <si>
    <t>守界黄昏</t>
  </si>
  <si>
    <t>130</t>
  </si>
  <si>
    <t>幽幕灵织袍</t>
  </si>
  <si>
    <t>套装【幽幕灵织袍 + 暴动魔核 + 流渊穿越者】｜主动｜深渊暴动｜耗能30｜CD50｜进入暴走状态持续6回合：伤害增幅+30%、敏捷+50%，每次攻击附带敏捷×0.1的真实伤害。；最终伤害 +30%；敏捷 +50%；普攻附加 敏捷*0.1 真实伤害</t>
  </si>
  <si>
    <t>131</t>
  </si>
  <si>
    <t>虚灵幽骸面罩</t>
  </si>
  <si>
    <t>套装【虚灵幽骸面罩 + 魔灵残响步履】｜主动｜虚化｜耗能10｜CD8｜获得一回合必闪避，并且接下来5回合敏捷+25%。；必定闪避；敏捷 +25%</t>
  </si>
  <si>
    <t>132</t>
  </si>
  <si>
    <t>魔灵残响步履</t>
  </si>
  <si>
    <t>133</t>
  </si>
  <si>
    <t>暴动魔核</t>
  </si>
  <si>
    <t>134</t>
  </si>
  <si>
    <t>耳语帷幕斗篷</t>
  </si>
  <si>
    <t>套装【耳语帷幕斗篷 + 深渊回响之坠】｜被动｜低语回响｜普攻附带（能量×0.02 + 护甲强化等级 + 饰品强化等级）的真实伤害。；普攻附加 能量*0.02+护甲强化+饰品强化 真实伤害</t>
  </si>
  <si>
    <t>135</t>
  </si>
  <si>
    <t>回响之盔</t>
  </si>
  <si>
    <t>136</t>
  </si>
  <si>
    <t>流渊穿越者</t>
  </si>
  <si>
    <t>137</t>
  </si>
  <si>
    <t>深渊回响之坠</t>
  </si>
  <si>
    <t>138</t>
  </si>
  <si>
    <t>咏叹之杖</t>
  </si>
  <si>
    <t>套装【咏叹之杖 + 哀霜献祭法袍】｜主动｜霜之哀伤｜耗能10｜CD20｜降低目标20%防御、20%敏捷，持续10回合，并造成能量×0.5的伤害。；防御 -20%；敏捷 -20%；造成当前能量×0.5伤害</t>
  </si>
  <si>
    <t>139</t>
  </si>
  <si>
    <t>哀霜献祭法袍</t>
  </si>
  <si>
    <t>140</t>
  </si>
  <si>
    <t>祭礼冠冕</t>
  </si>
  <si>
    <t>套装【祭礼冠冕 + 哀悼胫甲 + 悲鸣之环】｜被动｜悲恸光环｜敌人攻击、防御、敏捷均减少（能量×0.01）%。；攻击 -能量*0.01%；防御 -能量*0.01%；敏捷 -能量*0.01%</t>
  </si>
  <si>
    <t>141</t>
  </si>
  <si>
    <t>哀悼胫甲</t>
  </si>
  <si>
    <t>142</t>
  </si>
  <si>
    <t>悲鸣之环</t>
  </si>
  <si>
    <t>143</t>
  </si>
  <si>
    <t>深渊裂骨锤</t>
  </si>
  <si>
    <t>套装【深渊裂骨锤 + 深渊王冠 + 不灭之心】｜被动｜镇压｜对方生命值低于50%时，我方伤害+15%；否则自身免伤+15%。；最终伤害 +15%；最终受伤 -15%；套装【深渊裂骨锤 + 骸之王座甲】｜被动｜破碎碾压｜第5回合开始，穿透提高（武器强化等级+护甲强化等级）%，并且增加（能量×0.02）的最终伤害增幅，都持续3回合。；穿透 +(武器强化+护甲强化)%；最终伤害 +能量*0.02%</t>
  </si>
  <si>
    <t>144</t>
  </si>
  <si>
    <t>骸之王座甲</t>
  </si>
  <si>
    <t>套装【深渊裂骨锤 + 骸之王座甲】｜被动｜破碎碾压｜第5回合开始，穿透提高（武器强化等级+护甲强化等级）%，并且增加（能量×0.02）的最终伤害增幅，都持续3回合。；穿透 +(武器强化+护甲强化)%；最终伤害 +能量*0.02%</t>
  </si>
  <si>
    <t>145</t>
  </si>
  <si>
    <t>深渊王冠</t>
  </si>
  <si>
    <t>套装【深渊裂骨锤 + 深渊王冠 + 不灭之心】｜被动｜镇压｜对方生命值低于50%时，我方伤害+15%；否则自身免伤+15%。；最终伤害 +15%；最终受伤 -15%</t>
  </si>
  <si>
    <t>146</t>
  </si>
  <si>
    <t>不灭之心</t>
  </si>
  <si>
    <t>147</t>
  </si>
  <si>
    <t>隐秘-噬浪鳞靴</t>
  </si>
  <si>
    <t>装备技能：主动｜噬浪突袭｜耗能20｜CD20｜造成((攻击力 + 能量*1.5) * (1 + 暴击*0.002))点伤害，并提高5%的敏捷，持续2回合；造成(攻击 + 最大能量×1.5)×(1 + 暴击×0.002)伤害；敏捷 +5%</t>
  </si>
  <si>
    <t>148</t>
  </si>
  <si>
    <t>永恒落日之铠</t>
  </si>
  <si>
    <t>装备技能：被动｜黄昏时刻｜第10回合获得10%最终伤害增幅，并且造成(能量*3.5)的伤害；最终伤害增幅+10%；造成最大能量×3.5固定伤害</t>
  </si>
  <si>
    <t>149</t>
  </si>
  <si>
    <t>暗影魔冕</t>
  </si>
  <si>
    <t>装备技能：被动｜暗影狂袭｜增加 (能量 / 100)% 的穿透与敏捷。；破甲+最大能量÷100%；敏捷+最大能量÷100%</t>
  </si>
  <si>
    <t>150</t>
  </si>
  <si>
    <t>永恒枪盾</t>
  </si>
  <si>
    <t>装备技能：被动｜攻守兼备｜提升（武器强化等级*1+能量*0.01）点伤害格挡，增加（武器强化等级*2+能量*0.02）点攻击；攻击+武器强化等级×2+最大能量×0.02；最终受伤-weaponEnhanceLevel+maxEnergy*0.01</t>
  </si>
  <si>
    <t>151</t>
  </si>
  <si>
    <t>山岳之瞳</t>
  </si>
  <si>
    <t>152</t>
  </si>
  <si>
    <t>裂岩战斧</t>
  </si>
  <si>
    <t>套装【裂岩战斧 + 岩核契约之环】｜主动｜裂岩契约｜耗能12｜CD6｜造成 atk * 1.3 + def * 0.6 + maxEnergy * 0.2 普通伤害，并使目标防御 -12%，持续3回合。；造成攻击×1.3 + 防御×0.6 + 最大能量×0.2伤害；防御 -12%</t>
  </si>
  <si>
    <t>153</t>
  </si>
  <si>
    <t>岩核契约之环</t>
  </si>
  <si>
    <t>154</t>
  </si>
  <si>
    <t>蛟瞳炎冠</t>
  </si>
  <si>
    <t>套装【蛟瞳炎冠 + 赤鳞蜕甲 + 熔迹蛟靴】｜主动｜赤鳞复燃｜耗能15｜CD10｜立即恢复 maxHp * 0.08 + maxEnergy * 0.1 生命值，并获得最终伤害 +12%、普攻附加 atk * 0.12 普通伤害，持续5回合。；回复最大生命×0.08 + 最大能量×0.1生命；最终伤害 +12%；普攻附加 atk * 0.12 普通伤害；套装【蛟瞳炎冠 + 熔迹蛟靴】｜主动｜疾焰突袭｜耗能10｜CD12｜造成 atk * 1.1 + agility * 0.8 + maxEnergy * 0.2 普通伤害，并获得敏捷 +15%，持续2回合。；造成攻击×1.1 + 敏捷×0.8 + 最大能量×0.2伤害；敏捷 +15%</t>
  </si>
  <si>
    <t>155</t>
  </si>
  <si>
    <t>赤鳞蜕甲</t>
  </si>
  <si>
    <t>套装【蛟瞳炎冠 + 赤鳞蜕甲 + 熔迹蛟靴】｜主动｜赤鳞复燃｜耗能15｜CD10｜立即恢复 maxHp * 0.08 + maxEnergy * 0.1 生命值，并获得最终伤害 +12%、普攻附加 atk * 0.12 普通伤害，持续5回合。；回复最大生命×0.08 + 最大能量×0.1生命；最终伤害 +12%；普攻附加 atk * 0.12 普通伤害</t>
  </si>
  <si>
    <t>156</t>
  </si>
  <si>
    <t>熔迹蛟靴</t>
  </si>
  <si>
    <t>157</t>
  </si>
  <si>
    <t>永夜封灵冠</t>
  </si>
  <si>
    <t>套装【永夜封灵冠 + 暗影棱镜】｜主动｜封灵暗幕｜耗能20｜CD12｜使目标攻击 -(15 + maxEnergy * 0.02)%、治疗 -40%，持续5回合。；攻击 -(15+能量*0.02)%；治疗 -40%；套装【永夜封灵冠 + 亡者均势之铠】｜被动｜生死均势｜敌方生命高于50%时自身最终受伤 -10%；敌方生命低于50%时自身最终伤害 +10%。同时获得 maxEnergy * 0.01 的攻击和防御。；攻击 +能量*0.01；防御 +能量*0.01；最终受伤 -10%；最终伤害 +10%</t>
  </si>
  <si>
    <t>158</t>
  </si>
  <si>
    <t>暗影棱镜</t>
  </si>
  <si>
    <t>套装【永夜封灵冠 + 暗影棱镜】｜主动｜封灵暗幕｜耗能20｜CD12｜使目标攻击 -(15 + maxEnergy * 0.02)%、治疗 -40%，持续5回合。；攻击 -(15+能量*0.02)%；治疗 -40%</t>
  </si>
  <si>
    <t>159</t>
  </si>
  <si>
    <t>亡者均势之铠</t>
  </si>
  <si>
    <t>套装【永夜封灵冠 + 亡者均势之铠】｜被动｜生死均势｜敌方生命高于50%时自身最终受伤 -10%；敌方生命低于50%时自身最终伤害 +10%。同时获得 maxEnergy * 0.01 的攻击和防御。；攻击 +能量*0.01；防御 +能量*0.01；最终受伤 -10%；最终伤害 +10%；套装【亡者均势之铠 + 流瘟裂骨杵】｜主动｜瘟骨压迫｜耗能18｜CD12｜造成 atk * 2 + maxHp * 0.08 普通伤害，并使目标治疗 -50%，持续6回合。；造成攻击×2 + 最大生命×0.08伤害；治疗 -50%</t>
  </si>
  <si>
    <t>160</t>
  </si>
  <si>
    <t>流瘟裂骨杵</t>
  </si>
  <si>
    <t>套装【亡者均势之铠 + 流瘟裂骨杵】｜主动｜瘟骨压迫｜耗能18｜CD12｜造成 atk * 2 + maxHp * 0.08 普通伤害，并使目标治疗 -50%，持续6回合。；造成攻击×2 + 最大生命×0.08伤害；治疗 -50%</t>
  </si>
  <si>
    <t>161</t>
  </si>
  <si>
    <t>风怒战环</t>
  </si>
  <si>
    <t>套装【风怒战环 + 万风王冠】｜被动｜王风号令｜敏捷永久提升 maxEnergy * 0.012%，第1回合获得必命中1回合。；敏捷+最大能量×0.012%；必定命中</t>
  </si>
  <si>
    <t>162</t>
  </si>
  <si>
    <t>万风王冠</t>
  </si>
  <si>
    <t>163</t>
  </si>
  <si>
    <t>时光之瞬面罩</t>
  </si>
  <si>
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-(20+能量*0.01)%；套装【时光之瞬面罩 + 流光行者踏靴】｜主动｜瞬时偏移｜耗能18｜CD10｜获得必闪1回合，并获得敏捷 +20%，持续3回合。；必定闪避；敏捷 +20%</t>
  </si>
  <si>
    <t>164</t>
  </si>
  <si>
    <t>永恒编织者甲胄</t>
  </si>
  <si>
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</t>
  </si>
  <si>
    <t>165</t>
  </si>
  <si>
    <t>流光行者踏靴</t>
  </si>
  <si>
    <t>套装【时光之瞬面罩 + 流光行者踏靴】｜主动｜瞬时偏移｜耗能18｜CD10｜获得必闪1回合，并获得敏捷 +20%，持续3回合。；必定闪避；敏捷 +20%；套装【流光行者踏靴 + 光阴秘钥】｜被动｜秘钥开环｜第5回合获得最终伤害 +20%，持续2回合，并造成 maxEnergy * 2.5 普通伤害。；最终伤害 +20%；造成最大能量×2.5固定伤害</t>
  </si>
  <si>
    <t>166</t>
  </si>
  <si>
    <t>光阴秘钥</t>
  </si>
  <si>
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-(20+能量*0.01)%；套装【流光行者踏靴 + 光阴秘钥】｜被动｜秘钥开环｜第5回合获得最终伤害 +20%，持续2回合，并造成 maxEnergy * 2.5 普通伤害。；最终伤害 +20%；造成最大能量×2.5固定伤害</t>
  </si>
  <si>
    <t>167</t>
  </si>
  <si>
    <t>日月天衡冠</t>
  </si>
  <si>
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+(5+能量*0.01)%；套装【日月天衡冠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</t>
  </si>
  <si>
    <t>168</t>
  </si>
  <si>
    <t>日月踏罡靴</t>
  </si>
  <si>
    <t>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+(5+能量*0.01)%；套装【日月踏罡靴 + 日月裁决】｜主动｜踏罡裁影｜耗能20｜CD8｜造成 atk * 1.1 + agility * 0.7 普通伤害，并获得必命中2回合。；造成攻击×1.1 + 敏捷×0.7伤害；必定命中</t>
  </si>
  <si>
    <t>169</t>
  </si>
  <si>
    <t>日月裁决</t>
  </si>
  <si>
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+(5+能量*0.01)%；套装【日月踏罡靴 + 日月裁决】｜主动｜踏罡裁影｜耗能20｜CD8｜造成 atk * 1.1 + agility * 0.7 普通伤害，并获得必命中2回合。；造成攻击×1.1 + 敏捷×0.7伤害；必定命中</t>
  </si>
  <si>
    <t>170</t>
  </si>
  <si>
    <t>日耀之环</t>
  </si>
  <si>
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</t>
  </si>
  <si>
    <t>171</t>
  </si>
  <si>
    <t>月华之环</t>
  </si>
  <si>
    <t>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</t>
  </si>
  <si>
    <t>岩火守望冠</t>
  </si>
  <si>
    <t>装备技能：被动｜岩火守望｜战斗开始获得格挡 helmetEnhanceLevel + maxEnergy * 0.04，持续5回合，第6回合获得5%的暴击提升，持续单次战斗。；格挡提升；暴击 +5%</t>
  </si>
  <si>
    <t>裂岩赤鳞甲</t>
  </si>
  <si>
    <t>装备技能：主动｜裂鳞护体｜耗能12｜CD12｜恢复 maxHp * 0.08 + maxEnergy * 0.2，并获得最终受伤降低，持续3回合。；回复最大生命×0.08 + 最大能量×0.2生命；最终受伤降低</t>
  </si>
  <si>
    <t>岩核熔迹环</t>
  </si>
  <si>
    <t>装备技能：被动｜岩核蓄热｜攻击提升 maxEnergy * 0.03，穿透提升 4 + maxEnergy * 0.005%。；攻击提升；穿透提升</t>
  </si>
  <si>
    <t>死灵均衡铠</t>
  </si>
  <si>
    <t>装备技能：被动｜亡者均衡｜被动。敌方 HP &gt;= 50% 时自身最终受伤 -(3 + maxEnergy * 0.01)%；敌方 HP &lt; 50% 时自身最终伤害 +(3 + maxEnergy * 0.01)%。；最终受伤降低；最终伤害提升</t>
  </si>
  <si>
    <t>瘟疫魔刃</t>
  </si>
  <si>
    <t>装备技能：主动｜瘟骨裂击｜耗能20｜CD15｜主动。消耗 20，冷却 15，造成 atk * 1.5 + maxHp * 0.05 + maxEnergy * 0.4 普通伤害，并使目标治疗 -(35 + maxEnergy * 0.02)%，持续 5 回合。；造成攻击×1.5 + 最大生命×0.05 + 最大能量×0.4伤害；治疗降低</t>
  </si>
  <si>
    <t>魔武狩猎者之靴</t>
  </si>
  <si>
    <t>装备技能：被动｜狩猎形态｜被动。第 1 回合获得敏捷 +(6 + maxEnergy * 0.01)%，并获得必命中 1 回合。；敏捷提升；施加必中</t>
  </si>
  <si>
    <t>暴风神甲</t>
  </si>
  <si>
    <t>装备技能：被动｜暴风扰动｜被动。每回合使敌方最终伤害 -(5 + maxEnergy * 0.01)%。；最终伤害降低</t>
  </si>
  <si>
    <t>风暴戟刃</t>
  </si>
  <si>
    <t>装备技能：主动｜风暴穿刺｜耗能40｜CD12｜主动。消耗 40，冷却 12，造成 atk * 1.25 + agility * 0.65 + penetration * 0.7 + maxEnergy * 0.3 普通伤害。；造成攻击×1.25 + 敏捷×0.65 + 破甲×0.7 + 最大能量×0.3伤害</t>
  </si>
  <si>
    <t>光阴巡猎战刃</t>
  </si>
  <si>
    <t>装备技能：主动｜光阴疾斩｜耗能28｜CD12｜主动。消耗 28，冷却 12，造成 atk * 1.3 + agility * 0.65 + maxEnergy * 0.5 普通伤害，并获得必命中 1 回合。；造成攻击×1.3 + 敏捷×0.65 + 最大能量×0.5伤害；施加必中</t>
  </si>
  <si>
    <t>恐惧猎杀之弓</t>
  </si>
  <si>
    <t>装备技能：被动｜骇光猎印｜被动。暴击 +(3 + maxEnergy * 0.006)%；第 3 回合获得最终伤害 +(8 + maxEnergy * 0.01)%，持续 2 回合。；暴击提升；最终伤害提升</t>
  </si>
  <si>
    <t>日月轮衡靴</t>
  </si>
  <si>
    <t>装备技能：被动｜轮衡步｜被动。敏捷 +(maxEnergy * 0.015)%；第 1 回合获得必命中 1 回合。；敏捷提升；施加必中</t>
  </si>
  <si>
    <t>日耀裁决刃</t>
  </si>
  <si>
    <t>装备技能：主动｜日耀裁决｜耗能45｜CD18｜主动。消耗 45，冷却 18，造成 atk * 1.35 + penetration + maxEnergy * 0.5 普通伤害，并造成当前回合数 * 4 真实伤害，自身最终伤害 +(5 + maxEnergy * 0.01)%，持续 2 回合。；造成攻击×1.35 + 破甲 + 最大能量×0.5伤害；造成turnCount×4固定伤害；最终伤害提升</t>
  </si>
  <si>
    <t>月华秘镜</t>
  </si>
  <si>
    <t>装备技能：主动｜月华秘钥｜耗能20｜CD18｜主动。消耗 20，冷却 18，恢复 maxHp * 0.1 + maxEnergy * 0.25 生命值，并获得最终受伤 -(15 + maxEnergy * 0.015)%，持续 5 回合。；回复最大生命×0.1 + 最大能量×0.25生命；最终受伤降低</t>
  </si>
  <si>
    <t>幽幕暴动袍</t>
  </si>
  <si>
    <t>装备技能：主动｜幽幕暴动｜耗能30｜CD18｜主动。消耗 30，冷却 18，获得最终伤害 +(20 + maxEnergy * 0.01)%、敏捷 +(25 + maxEnergy * 0.01)%，持续 6 回合。；最终伤害提升；敏捷提升</t>
  </si>
  <si>
    <t>哀霜咏叹杖</t>
  </si>
  <si>
    <t>装备技能：主动｜哀霜咏叹｜耗能28｜CD12｜主动。消耗 28，冷却 12，使目标防御、敏捷各 -(15 + maxEnergy * 0.01)%，持续 5 回合，并造成 atk + maxEnergy * 0.8 普通伤害。；防御降低；敏捷降低；造成攻击 + 最大能量×0.8伤害</t>
  </si>
  <si>
    <t>沸血蜥冠</t>
  </si>
  <si>
    <t>铜背铁甲</t>
  </si>
  <si>
    <t>刺鬃裂刃</t>
  </si>
  <si>
    <t>赤瞳靴</t>
  </si>
  <si>
    <t>熔孢之心</t>
  </si>
  <si>
    <t>裂甲犀角盔</t>
  </si>
  <si>
    <t>菌孢披风</t>
  </si>
  <si>
    <t>熔脉鳞靴</t>
  </si>
  <si>
    <t>督军血印</t>
  </si>
  <si>
    <t>赤沸怒啸战盔</t>
  </si>
  <si>
    <t>套装【赤沸怒啸战盔 + 沸血战铠 + 沸血践踏者】｜被动｜燃魂之血｜套装被动。携带后降低 maxEnergy * 0.02% 最大生命，并获得最大生命与最大能量换算的攻击和暴击。；攻击+最大生命×最大能量×0.00014；暴击+最大生命×最大能量×0.00014；生命+0 - 最大能量×0.02%</t>
  </si>
  <si>
    <t>沸血战铠</t>
  </si>
  <si>
    <t>沸血碎狱巨斧</t>
  </si>
  <si>
    <t>沸血践踏者</t>
  </si>
  <si>
    <t>狂怒血晶</t>
  </si>
  <si>
    <t>荆棘花冠</t>
  </si>
  <si>
    <t>套装【荆棘花冠 + 绽放之刺 + 泣血花蕊之坠】｜主动｜盛怒绽放｜耗能最大能量×0.25｜CD40｜主动。消耗 25% 最大能量，冷却 40 回合，造成 125% 攻击 + 当前能量 * 3 普通伤害，恢复 25% 已损生命，并获得 0.01 * 最大能量% 防御提升，持续 10 回合。；造成攻击×1.25 + 当前能量×3伤害；回复(selfMaxHp - selfHp)×0.25生命；防御 +最大能量*0.01%</t>
  </si>
  <si>
    <t>血棘魔藤甲</t>
  </si>
  <si>
    <t>绽放之刺</t>
  </si>
  <si>
    <t>花皇藤靴</t>
  </si>
  <si>
    <t>泣血花蕊之坠</t>
  </si>
  <si>
    <t>蝠王啸夜盔</t>
  </si>
  <si>
    <t>血蝠翼影甲</t>
  </si>
  <si>
    <t>蝠啸裂空镰</t>
  </si>
  <si>
    <t>套装【蝠啸裂空镰 + 夜蝠追猎履】｜主动｜追猎｜耗能40｜CD20｜主动。消耗 40 能量，冷却 20 回合，获得 0.2 * 敏捷附伤，持续 5 回合，并造成 0.25 攻击 + 0.1 最大能量 的 5 次连击。；攻击附伤 0.2 * 敏捷；造成攻击×0.25 + 最大能量×0.1伤害</t>
  </si>
  <si>
    <t>夜蝠追猎履</t>
  </si>
  <si>
    <t>饮血之契</t>
  </si>
  <si>
    <t>无尽喉冠</t>
  </si>
  <si>
    <t>无尽吞噬甲</t>
  </si>
  <si>
    <t>套装【无尽吞噬甲 + 永饥之环】｜主动｜吞噬｜耗能45｜CD30｜主动。消耗 45 能量，冷却 30 回合，造成 0.1 * (最大能量 + 最大生命) 真实伤害，不暴击，并使敌人眩晕 2 回合。；造成(最大能量 + 最大生命)×0.1伤害；眩晕</t>
  </si>
  <si>
    <t>噬骨魔铲</t>
  </si>
  <si>
    <t>暴食追猎者</t>
  </si>
  <si>
    <t>永饥之环</t>
  </si>
  <si>
    <t>撼岳战盔</t>
  </si>
  <si>
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</si>
  <si>
    <t>地裂蛮神铠</t>
  </si>
  <si>
    <t>裂地撼山杵</t>
  </si>
  <si>
    <t>崩裂行者</t>
  </si>
  <si>
    <t>大地之心</t>
  </si>
  <si>
    <t>隐秘-蛇皇之怒</t>
  </si>
  <si>
    <t>装备技能：主动｜沸血之毒｜耗能100｜CD100｜主动。消耗 100 能量，冷却 100 回合，获得 0.03 * 攻击 的真实伤害附伤，持续单次战斗；使敌方获得最大能量 * 0.1 损伤，并使敌方最终伤害降低最大能量 * 0.01%，持续 100 回合。；攻击附加真实伤害；造成最大能量×0.1固定伤害；最终伤害降低</t>
  </si>
  <si>
    <t>隐秘-碧玉天青铠</t>
  </si>
  <si>
    <t>装备技能：被动｜祥云消难｜被动。入场获得最大能量 * 0.03% 最终受伤减免，持续 3 回合，并在第 1 回合开始恢复 10% 已损生命。；最终受伤降低；回复(selfMaxHp - selfHp)×0.1生命</t>
  </si>
  <si>
    <t>隐秘-长明圣玉</t>
  </si>
  <si>
    <t>装备技能：被动｜长明无忧｜被动。战斗入场获得每回合恢复最大生命 * (0.5% + 最大能量 * 0.001%)，持续单次战斗。；每回合生命恢复</t>
  </si>
  <si>
    <t>怒涛血狱锤斧</t>
  </si>
  <si>
    <t>装备技能：主动｜蓄势｜耗能60｜CD10｜获得最终伤害增幅（100+0.01*能量）% 以及 最终受伤 -（0.05*能量）% ，持续1回合；伤害增幅 +(100+0.01*能量)%；伤害减免 +(0.05*能量)%</t>
  </si>
  <si>
    <t>覆天魔铲</t>
  </si>
  <si>
    <t>装备技能：被动｜遮天蔽日｜被动：遮天蔽日：前三回合，敌方降低（能量*0.03）%敏捷，降低（能量*0.02）%最终伤害增幅，己方增加（能量*0.01）%的暴击值以及（能量*0.02）%的防御值。；敏捷 -能量*0.03%；最终伤害 -能量*0.02%；暴击 +能量*0.01；防御 +能量*0.02%</t>
  </si>
  <si>
    <t>帝藤棘刃帷幔</t>
  </si>
  <si>
    <t>装备技能：主动｜破穿棘刺｜耗能40｜CD8｜造成攻击+能量*0.4+穿透*0.2的普通技能伤害，并追加回合数*2的真实伤害；使敌方最终受伤提高10%，持续5回合。；造成攻击 + 最大能量×0.4 + 破甲×0.2伤害；造成turnCount×2伤害；最终受伤 +10%</t>
  </si>
  <si>
    <t>饕餮之冠</t>
  </si>
  <si>
    <t>装备技能：主动｜暴食｜耗能50｜CD30｜降低自身10%当前生命值，获得能量*0.03%的攻击和暴击加成，并每回合恢复能量*0.02生命值，持续10回合。；造成selfHp×0.1固定伤害；攻击提升；暴击提升；每回合恢复 能量*0.02</t>
  </si>
  <si>
    <t>赤岚追袭铁面</t>
  </si>
  <si>
    <t>装备技能：被动｜渴血追袭｜每回合恢复0.02*(攻击+敏捷-防御)生命值，并增加能量*0.05的攻击力。；每回合恢复；攻击提升</t>
  </si>
  <si>
    <t>自然之泪</t>
  </si>
  <si>
    <t>装备技能：被动｜自然之力｜提高5%的最大生命值和能量值。；生命+5%；能量+5%</t>
  </si>
  <si>
    <t>自然之迹</t>
  </si>
  <si>
    <t>装备技能：主动｜轻盈之语｜耗能70｜CD10｜立刻恢复（1*能量）生命值，并提升(0.1*能量)的防御持续1回合；回复最大能量×1生命；防御 + 0.1 * 能量</t>
  </si>
  <si>
    <t>夜影封灵靴</t>
  </si>
  <si>
    <t>装备技能：被动｜封灵诀｜降低10%能量上限，获得等量的敏捷提升。；敏捷+最大能量×0.1；能量-10%</t>
  </si>
  <si>
    <t>极御神甲</t>
  </si>
  <si>
    <t>装备技能：主动｜地脉冲爆｜耗能80｜CD10｜造成（1*攻击+1*防御）的技能伤害，并且降低敌方（能量*0.2）敏捷，持续2回合；造成攻击 + 防御伤害；maxEnergy * 0.2；装备技能：被动｜绝对防御｜提高5%的最终伤害免疫。；最终受伤-5%</t>
  </si>
  <si>
    <t>杀戮之剑</t>
  </si>
  <si>
    <t>屠戮者头盔</t>
  </si>
  <si>
    <t>不屈战甲</t>
  </si>
  <si>
    <t>破灭者之靴</t>
  </si>
  <si>
    <t>血气宝石</t>
  </si>
  <si>
    <t>血魔之拳</t>
  </si>
  <si>
    <t>蠕动之颅</t>
  </si>
  <si>
    <t>血沼链甲</t>
  </si>
  <si>
    <t>血沼之踏</t>
  </si>
  <si>
    <t>第二心脏</t>
  </si>
  <si>
    <t>万刃斩</t>
  </si>
  <si>
    <t>无情铁面</t>
  </si>
  <si>
    <t>葬兵君主铠</t>
  </si>
  <si>
    <t>兵冢残影靴</t>
  </si>
  <si>
    <t>剑冢令戒</t>
  </si>
  <si>
    <t>领主诏令旗枪</t>
  </si>
  <si>
    <t>魂火冠颅</t>
  </si>
  <si>
    <t>死神战袍</t>
  </si>
  <si>
    <t>渡魂胫甲</t>
  </si>
  <si>
    <t>领主命匣</t>
  </si>
  <si>
    <t>神眼冥界法杖</t>
  </si>
  <si>
    <t>第三视界之眼</t>
  </si>
  <si>
    <t>注视者纱袍</t>
  </si>
  <si>
    <t>虚空踱步履</t>
  </si>
  <si>
    <t>神泪结晶</t>
  </si>
  <si>
    <t>隐秘-破损的八极蛇王枪</t>
  </si>
  <si>
    <t>无尽冥域</t>
  </si>
  <si>
    <t>装备技能：主动｜冥域｜耗能80｜CD50｜降低敌方攻击、防御、敏捷各（最大能量 * 0.1）点，持续30回合。；攻击降低 最大能量*0.1；防御降低 最大能量*0.1；敏捷降低 最大能量*0.1</t>
  </si>
  <si>
    <t>王命号令战铠</t>
  </si>
  <si>
    <t>装备技能：主动｜赐剑长驱｜耗能50｜CD8｜提高（最大能量 * 0.5）攻击力，持续5回合。；攻击提高 最大能量*0.5</t>
  </si>
  <si>
    <t>真命血石</t>
  </si>
  <si>
    <t>装备技能：被动｜天命所归｜第五回合对敌方造成（0.4 * 最大能量）点真实伤害（不可暴击），并恢复等额生命值。；造成最大能量×0.4伤害；回复最大能量×0.4生命</t>
  </si>
  <si>
    <t>怒煞面甲</t>
  </si>
  <si>
    <t>凝血皮铠</t>
  </si>
  <si>
    <t>尖峰行者</t>
  </si>
  <si>
    <t>灵魂破碎之刃</t>
  </si>
  <si>
    <t>无暇魔球</t>
  </si>
  <si>
    <t>副本次序</t>
  </si>
  <si>
    <t>类型</t>
  </si>
  <si>
    <t>金币</t>
  </si>
  <si>
    <t>经验</t>
  </si>
  <si>
    <t>免伤率</t>
  </si>
  <si>
    <t>等效生命</t>
  </si>
  <si>
    <t>战力系数</t>
  </si>
  <si>
    <t>掉落物1</t>
  </si>
  <si>
    <t>掉落物2</t>
  </si>
  <si>
    <t>掉落物3</t>
  </si>
  <si>
    <t>掉落物4</t>
  </si>
  <si>
    <t>掉落物5</t>
  </si>
  <si>
    <t>掉落物6</t>
  </si>
  <si>
    <t>1异变丛林</t>
  </si>
  <si>
    <t>地精</t>
  </si>
  <si>
    <t>normal</t>
  </si>
  <si>
    <t>烈乌</t>
  </si>
  <si>
    <t>异蛇</t>
  </si>
  <si>
    <t>野猪</t>
  </si>
  <si>
    <t>巨乌</t>
  </si>
  <si>
    <t>地精长者</t>
  </si>
  <si>
    <t>钢甲虫</t>
  </si>
  <si>
    <t>elite</t>
  </si>
  <si>
    <t>土灵</t>
  </si>
  <si>
    <t>乌鸟</t>
  </si>
  <si>
    <t>BOSS-丛林巫师</t>
  </si>
  <si>
    <t>boss</t>
  </si>
  <si>
    <t>2黄沙之荒</t>
  </si>
  <si>
    <t>沙虫</t>
  </si>
  <si>
    <t>沙蝎</t>
  </si>
  <si>
    <t>沙漠士兵</t>
  </si>
  <si>
    <t>流浪者</t>
  </si>
  <si>
    <t>飞沙兽</t>
  </si>
  <si>
    <t>沙漠蛟蛇</t>
  </si>
  <si>
    <t>刚刃</t>
  </si>
  <si>
    <t>荒野突袭者</t>
  </si>
  <si>
    <t>荒野守卫者</t>
  </si>
  <si>
    <t>噬沙兽</t>
  </si>
  <si>
    <t>BOSS-巨型沙虫</t>
  </si>
  <si>
    <t>3失落之城</t>
  </si>
  <si>
    <t>迷失者</t>
  </si>
  <si>
    <t>巡逻卫队</t>
  </si>
  <si>
    <t>拾荒者</t>
  </si>
  <si>
    <t>重斧战士</t>
  </si>
  <si>
    <t>强击者</t>
  </si>
  <si>
    <t>精英刺客</t>
  </si>
  <si>
    <t>失落幼兽</t>
  </si>
  <si>
    <t>机关守卫者</t>
  </si>
  <si>
    <t>BOSS-失落巨兽</t>
  </si>
  <si>
    <t>精致铁甲</t>
  </si>
  <si>
    <t>BOSS-失落战神</t>
  </si>
  <si>
    <t>隐秘-失落财宝之主</t>
  </si>
  <si>
    <t>4寒荒极地</t>
  </si>
  <si>
    <t>风雪守卫</t>
  </si>
  <si>
    <t>冰雪守卫</t>
  </si>
  <si>
    <t>寒霜巨人</t>
  </si>
  <si>
    <t>寒冰法师</t>
  </si>
  <si>
    <t>极地巫祝</t>
  </si>
  <si>
    <t>噬冰魔兽</t>
  </si>
  <si>
    <t>冰刃剑圣</t>
  </si>
  <si>
    <t>BOSS-寒荒精灵</t>
  </si>
  <si>
    <t>BOSS-极寒暴龙</t>
  </si>
  <si>
    <t>隐秘-冰帝翼龙</t>
  </si>
  <si>
    <t>5巨石之地</t>
  </si>
  <si>
    <t>符石剑士</t>
  </si>
  <si>
    <t>巨石斗士</t>
  </si>
  <si>
    <t>噬岩巨蝎</t>
  </si>
  <si>
    <t>锐石灵士</t>
  </si>
  <si>
    <t>巨锤守护者</t>
  </si>
  <si>
    <t>斩石者</t>
  </si>
  <si>
    <t>巨岩蟒</t>
  </si>
  <si>
    <t>异地冒险者</t>
  </si>
  <si>
    <t>探险家斗篷</t>
  </si>
  <si>
    <t>BOSS-岩石灵神</t>
  </si>
  <si>
    <t>BOSS-熔岩灵蛟</t>
  </si>
  <si>
    <t>隐秘-镇域柱灵</t>
  </si>
  <si>
    <t>狂锤破坏者</t>
  </si>
  <si>
    <t>6死灵国度</t>
  </si>
  <si>
    <t>狂暴腐尸</t>
  </si>
  <si>
    <t>恶魔蝙蝠</t>
  </si>
  <si>
    <t>死灵武士</t>
  </si>
  <si>
    <t>鬼国侍卫</t>
  </si>
  <si>
    <t>噬灵之獒</t>
  </si>
  <si>
    <t>死火术士</t>
  </si>
  <si>
    <t>孤野魔魂</t>
  </si>
  <si>
    <t>死灵魔将</t>
  </si>
  <si>
    <t>极度恐惧</t>
  </si>
  <si>
    <t>BOSS-极夜统领者</t>
  </si>
  <si>
    <t>BOSS-死灵统帅</t>
  </si>
  <si>
    <t>BOSS-恐惧之主</t>
  </si>
  <si>
    <t>隐秘-魔帝残念</t>
  </si>
  <si>
    <t>BOSS-腐败尸王</t>
  </si>
  <si>
    <t>7飓风之眼</t>
  </si>
  <si>
    <t>飓风之灵</t>
  </si>
  <si>
    <t>飓风使徒</t>
  </si>
  <si>
    <t>狂风鸟</t>
  </si>
  <si>
    <t>疾风翼龙</t>
  </si>
  <si>
    <t>绝壁毒蟒</t>
  </si>
  <si>
    <t>猩红甲虫</t>
  </si>
  <si>
    <t>风纹魔兽</t>
  </si>
  <si>
    <t>风眼镇守者</t>
  </si>
  <si>
    <t>BOSS-狂风战将</t>
  </si>
  <si>
    <t>BOSS-灵风独角兽</t>
  </si>
  <si>
    <t>灵风鬃冠</t>
  </si>
  <si>
    <t>BOSS-风皇</t>
  </si>
  <si>
    <t>隐秘-寻风神兽</t>
  </si>
  <si>
    <t>狂热风蛊</t>
  </si>
  <si>
    <t>8朝暮之城</t>
  </si>
  <si>
    <t>守夜人</t>
  </si>
  <si>
    <t>打更人</t>
  </si>
  <si>
    <t>暗夜之灵</t>
  </si>
  <si>
    <t>堕魔</t>
  </si>
  <si>
    <t>墓穴魔蛛</t>
  </si>
  <si>
    <t>黑钢守卫者</t>
  </si>
  <si>
    <t>白金守卫者</t>
  </si>
  <si>
    <t>极光斗士</t>
  </si>
  <si>
    <t>BOSS-白昼之神</t>
  </si>
  <si>
    <t>BOSS-暮色之神</t>
  </si>
  <si>
    <t>隐秘-光暗斗神</t>
  </si>
  <si>
    <t>暗影巡猎者</t>
  </si>
  <si>
    <t>晨锋哨卫</t>
  </si>
  <si>
    <t>BOSS-光阴行者</t>
  </si>
  <si>
    <t>BOSS-日月神将</t>
  </si>
  <si>
    <t>9无底深渊</t>
  </si>
  <si>
    <t>魔鬼巨隼</t>
  </si>
  <si>
    <t>黑暗巨兽</t>
  </si>
  <si>
    <t>死亡猎手</t>
  </si>
  <si>
    <t>黑洞虫群</t>
  </si>
  <si>
    <t>腥风魔蛟</t>
  </si>
  <si>
    <t>深渊巨口</t>
  </si>
  <si>
    <t>邪灵</t>
  </si>
  <si>
    <t>流渊魔猎手</t>
  </si>
  <si>
    <t>流渊魔剑士</t>
  </si>
  <si>
    <t>深渊吞噬</t>
  </si>
  <si>
    <t>BOSS-结界守卫者</t>
  </si>
  <si>
    <t>BOSS-深渊魔灵</t>
  </si>
  <si>
    <t>BOSS-裂隙低语者</t>
  </si>
  <si>
    <t>流源穿越者</t>
  </si>
  <si>
    <t>BOSS-悲恸祭祀</t>
  </si>
  <si>
    <t>BOSS-无底渊骸</t>
  </si>
  <si>
    <t>隐秘-深渊魔蛟王</t>
  </si>
  <si>
    <t>10血沸盆地</t>
  </si>
  <si>
    <t>沸血蜥蜴</t>
  </si>
  <si>
    <t>铜背巨猿</t>
  </si>
  <si>
    <t>刺鬃狂猪</t>
  </si>
  <si>
    <t>赤瞳石狼</t>
  </si>
  <si>
    <t>熔孢菌兽</t>
  </si>
  <si>
    <t>裂甲王犀</t>
  </si>
  <si>
    <t>死亡菌株</t>
  </si>
  <si>
    <t>熔脉王蛇</t>
  </si>
  <si>
    <t>血颅督军</t>
  </si>
  <si>
    <t>BOSS-沸血领主</t>
  </si>
  <si>
    <t>BOSS-血棘花后</t>
  </si>
  <si>
    <t>BOSS-血翼蝠王</t>
  </si>
  <si>
    <t>BOSS-暴食之喉</t>
  </si>
  <si>
    <t>BOSS-裂地神象</t>
  </si>
  <si>
    <t>隐秘-怒鳞蛇皇</t>
  </si>
  <si>
    <t>隐秘-碧眼玉麒麟</t>
  </si>
  <si>
    <t>11死亡之路</t>
  </si>
  <si>
    <t>噬铁巨蚁</t>
  </si>
  <si>
    <t>枯藤猎手</t>
  </si>
  <si>
    <t>刺脊地龙</t>
  </si>
  <si>
    <t>邪恶浮游体</t>
  </si>
  <si>
    <t>血喉鬣狗</t>
  </si>
  <si>
    <t>铁颚蚁后</t>
  </si>
  <si>
    <t>腐棘树灵</t>
  </si>
  <si>
    <t>熔壳地龙</t>
  </si>
  <si>
    <t>蛊虫战士</t>
  </si>
  <si>
    <t>獠牙首领</t>
  </si>
  <si>
    <t>BOSS-杀戮巨像</t>
  </si>
  <si>
    <t>BOSS-血沼肉山</t>
  </si>
  <si>
    <t>BOSS-百兵冢君</t>
  </si>
  <si>
    <t>BOSS-死亡领主</t>
  </si>
  <si>
    <t>BOSS-幽冥神眼</t>
  </si>
  <si>
    <t>隐秘-阴极真神幻象</t>
  </si>
  <si>
    <t>世界boss</t>
  </si>
  <si>
    <t>北海玄夔</t>
  </si>
  <si>
    <t>威力</t>
  </si>
  <si>
    <t>能量消耗</t>
  </si>
  <si>
    <t>Buff效果</t>
  </si>
  <si>
    <t>持续回合</t>
  </si>
  <si>
    <t>目标</t>
  </si>
  <si>
    <t>描述</t>
  </si>
  <si>
    <t>冷却</t>
  </si>
  <si>
    <t>治疗</t>
  </si>
  <si>
    <t>heal</t>
  </si>
  <si>
    <t>self</t>
  </si>
  <si>
    <t>消耗 5+7%最大能量，恢复25%最大生命</t>
  </si>
  <si>
    <t>怒击</t>
  </si>
  <si>
    <t>active</t>
  </si>
  <si>
    <t>enemy</t>
  </si>
  <si>
    <t>消耗 5+7%最大能量，造成160%伤害</t>
  </si>
  <si>
    <t>消耗 5+7%最大能量，连续攻击三次，每次50%伤害</t>
  </si>
  <si>
    <t>铁皮</t>
  </si>
  <si>
    <t>passive</t>
  </si>
  <si>
    <t>{"stat":"defense_percent","amount":5}</t>
  </si>
  <si>
    <t>被动：防御提升5%</t>
  </si>
  <si>
    <t>旋风斩</t>
  </si>
  <si>
    <t>造成120%攻击力伤害</t>
  </si>
  <si>
    <t>坚守</t>
  </si>
  <si>
    <t>buff</t>
  </si>
  <si>
    <t>{"stat":"defense_percent","amount":10}</t>
  </si>
  <si>
    <t>防御提升10%，持续10回合</t>
  </si>
  <si>
    <t>狂暴之力</t>
  </si>
  <si>
    <t>{"stat":"attack_percent","amount":20}</t>
  </si>
  <si>
    <t>攻击力提升20%，持续6回合</t>
  </si>
  <si>
    <t>暴击精通</t>
  </si>
  <si>
    <t>{"stat":"crit_percent","amount":6}</t>
  </si>
  <si>
    <t>被动：暴击永久提升6%</t>
  </si>
  <si>
    <t>疾风步</t>
  </si>
  <si>
    <t>{"stat":"agility_percent","amount":3}</t>
  </si>
  <si>
    <t>被动：敏捷永久提升3%</t>
  </si>
  <si>
    <t>技能ID</t>
  </si>
  <si>
    <t>技能名</t>
  </si>
  <si>
    <t>来源装备</t>
  </si>
  <si>
    <t>技能描述</t>
  </si>
  <si>
    <t>黄昏禁锢</t>
  </si>
  <si>
    <t>主动</t>
  </si>
  <si>
    <t>敌方</t>
  </si>
  <si>
    <t>禁界踏破战靴、守界黄昏</t>
  </si>
  <si>
    <t>耗能20，CD30：眩晕目标3回合，期间目标受到伤害+15%</t>
  </si>
  <si>
    <t>魔王斩</t>
  </si>
  <si>
    <t>魔王巨刃、亡者战魂</t>
  </si>
  <si>
    <t>耗能5，CD5：造成攻击*1.2+破甲伤害</t>
  </si>
  <si>
    <t>骇光猎印</t>
  </si>
  <si>
    <t>被动</t>
  </si>
  <si>
    <t>自身</t>
  </si>
  <si>
    <t>被动：暴击+(3+能量*0.006)%；第3回合最终伤害+(8+能量*0.01)%，持续2回合</t>
  </si>
  <si>
    <t>风暴穿刺</t>
  </si>
  <si>
    <t>耗能40，CD12：造成攻击*1.25+敏捷*0.65+破甲*0.7+最大能量*0.3伤害</t>
  </si>
  <si>
    <t>霜之哀伤</t>
  </si>
  <si>
    <t>咏叹之杖、哀霜献祭法袍</t>
  </si>
  <si>
    <t>耗能10，CD20：敌方防御/敏捷-20%，持续10回合，并造成当前能量*0.5伤害</t>
  </si>
  <si>
    <t>镇压</t>
  </si>
  <si>
    <t>深渊裂骨锤、深渊王冠、不灭之心</t>
  </si>
  <si>
    <t>被动：敌方生命&lt;50%时我方伤害+15%；否则自身免伤+15%</t>
  </si>
  <si>
    <t>追猎</t>
  </si>
  <si>
    <t>蝠啸裂空镰、夜蝠追猎履</t>
  </si>
  <si>
    <t>耗能40，CD20：获得敏捷*0.2附伤，持续5回合，并造成攻击*0.25+最大能量*0.1的5次连击</t>
  </si>
  <si>
    <t>轮衡步</t>
  </si>
  <si>
    <t>-</t>
  </si>
  <si>
    <t>被动：敏捷+最大能量*0.015%，第1回合必中1回合</t>
  </si>
  <si>
    <t>踏罡裁影</t>
  </si>
  <si>
    <t>日月裁决、日月踏罡靴</t>
  </si>
  <si>
    <t>耗能20，CD8：造成攻击*1.1+敏捷*0.7伤害，并必中2回合</t>
  </si>
  <si>
    <t>赤鳞复燃</t>
  </si>
  <si>
    <t>蛟瞳炎冠、赤鳞蜕甲、熔迹蛟靴</t>
  </si>
  <si>
    <t>耗能15，CD10：恢复最大生命*0.08+最大能量*0.1，最终伤害+12%、普攻附加攻击*0.12伤害，持续5回合</t>
  </si>
  <si>
    <t>裂鳞护体</t>
  </si>
  <si>
    <t>耗能12，CD12：恢复最大生命*0.08+最大能量*0.2，最终受伤降低，持续3回合</t>
  </si>
  <si>
    <t>裂岩契约</t>
  </si>
  <si>
    <t>裂岩战斧、岩核契约之环</t>
  </si>
  <si>
    <t>耗能12，CD6：造成攻击*1.3+防御*0.6+最大能量*0.2伤害，敌方防御-12%，持续3回合</t>
  </si>
  <si>
    <t>虚化</t>
  </si>
  <si>
    <t>虚灵幽骸面罩、魔灵残响步履</t>
  </si>
  <si>
    <t>耗能10，CD8：必闪1回合，敏捷+25%，持续5回合</t>
  </si>
  <si>
    <t>蓄势</t>
  </si>
  <si>
    <t>耗能60，CD10：最终伤害+(100+能量*0.01)%，最终受伤-(能量*0.05)%，持续1回合</t>
  </si>
  <si>
    <t>自然之力</t>
  </si>
  <si>
    <t>被动：最大生命+5%，最大能量+5%</t>
  </si>
  <si>
    <t>统御者</t>
  </si>
  <si>
    <t>统领者战袍、统领者战靴、统帅之盔</t>
  </si>
  <si>
    <t>被动：最终伤害+10%</t>
  </si>
  <si>
    <t>繁荣不息</t>
  </si>
  <si>
    <t>繁荣腐化之心、繁荣腐化铠甲</t>
  </si>
  <si>
    <t>耗能护甲强化等级，CD30：每回合恢复(0.1*护甲强化等级)%最大生命，持续30回合，并立刻恢复3%最大生命</t>
  </si>
  <si>
    <t>秘钥开环</t>
  </si>
  <si>
    <t>光阴秘钥、流光行者踏靴</t>
  </si>
  <si>
    <t>被动：第5回合最终伤害+20%持续2回合，并造成最大能量*2.5伤害</t>
  </si>
  <si>
    <t>祥云消难</t>
  </si>
  <si>
    <t>被动：入场最终受伤-(最大能量*0.03)%持续3回合，第1回合恢复10%已损生命</t>
  </si>
  <si>
    <t>神风</t>
  </si>
  <si>
    <t>堕风神甲、飓风神石</t>
  </si>
  <si>
    <t>被动：敏捷+10%</t>
  </si>
  <si>
    <t>磐石</t>
  </si>
  <si>
    <t>上古岩铠、黑曜石盾刃、黑曜石头盔</t>
  </si>
  <si>
    <t>被动：格挡+20（最终受伤-20）</t>
  </si>
  <si>
    <t>破碎碾压</t>
  </si>
  <si>
    <t>深渊裂骨锤、骸之王座甲</t>
  </si>
  <si>
    <t>被动：第5回合开始，穿透+(武器强化+护甲强化)%、最终伤害+能量*0.02%，持续3回合</t>
  </si>
  <si>
    <t>瞬时偏移</t>
  </si>
  <si>
    <t>耗能18，CD10：必闪1回合，敏捷+20%，持续3回合</t>
  </si>
  <si>
    <t>看破</t>
  </si>
  <si>
    <t>被动：暴击+5%，穿透+5%</t>
  </si>
  <si>
    <t>盛怒绽放</t>
  </si>
  <si>
    <t>荆棘花冠、绽放之刺、泣血花蕊之坠</t>
  </si>
  <si>
    <t>耗能25%最大能量，CD40：造成攻击*1.25+当前能量*3伤害，恢复25%已损生命，防御+最大能量*0.01%，持续10回合</t>
  </si>
  <si>
    <t>瘟骨裂击</t>
  </si>
  <si>
    <t>耗能20，CD15：造成攻击*1.5+最大生命*0.05+最大能量*0.4伤害，敌方治疗-(35+能量*0.02)%，持续5回合</t>
  </si>
  <si>
    <t>瘟骨压迫</t>
  </si>
  <si>
    <t>亡者均势之铠、流瘟裂骨杵</t>
  </si>
  <si>
    <t>耗能18，CD12：造成攻击*2+最大生命*0.08伤害，敌方治疗-50%，持续6回合</t>
  </si>
  <si>
    <t>疾焰突袭</t>
  </si>
  <si>
    <t>蛟瞳炎冠、熔迹蛟靴</t>
  </si>
  <si>
    <t>耗能10，CD12：造成攻击*1.1+敏捷*0.8+最大能量*0.2伤害，敏捷+15%，持续2回合</t>
  </si>
  <si>
    <t>生死均势</t>
  </si>
  <si>
    <t>永夜封灵冠、亡者均势之铠</t>
  </si>
  <si>
    <t>被动：敌方生命≥50%时最终受伤-10%；&lt;50%时最终伤害+10%；攻击/防御各+能量*0.01</t>
  </si>
  <si>
    <t>王风号令</t>
  </si>
  <si>
    <t>风怒战环、万风王冠</t>
  </si>
  <si>
    <t>被动：敏捷永久+最大能量*0.012%，第1回合必中1回合</t>
  </si>
  <si>
    <t>狩猎形态</t>
  </si>
  <si>
    <t>被动：第1回合敏捷+(6+能量*0.01)%，并必中1回合</t>
  </si>
  <si>
    <t>爆裂</t>
  </si>
  <si>
    <t>撼岳战盔、地裂蛮神铠、裂地撼山杵、崩裂行者、大地之心</t>
  </si>
  <si>
    <t>耗能10，CD10：造成攻击+暴击*0.1+破甲*0.1+防御*0.3伤害</t>
  </si>
  <si>
    <t>燃魂之血</t>
  </si>
  <si>
    <t>赤沸怒啸战盔、沸血战铠、沸血践踏者</t>
  </si>
  <si>
    <t>被动：降低最大能量*0.02%最大生命，获得攻击/暴击+最大生命*最大能量*0.00014</t>
  </si>
  <si>
    <t>灼炎领域</t>
  </si>
  <si>
    <t>灼火地煞、炎阳明珠</t>
  </si>
  <si>
    <t>耗能30，CD15：普攻附加攻击*0.5伤害与最大能量*0.1真实伤害，敌方重伤（治疗-50%），持续8回合</t>
  </si>
  <si>
    <t>灵风</t>
  </si>
  <si>
    <t>灵风鬓冠、灵风法杖</t>
  </si>
  <si>
    <t>耗能1，CD10：眩晕敌方2回合</t>
  </si>
  <si>
    <t>渴血追袭</t>
  </si>
  <si>
    <t>被动：每回合恢复0.02*(攻击+敏捷-防御)生命，攻击+能量*0.05</t>
  </si>
  <si>
    <t>深渊暴动</t>
  </si>
  <si>
    <t>幽幕灵织袍、暴动魔核、流渊穿越者</t>
  </si>
  <si>
    <t>耗能30，CD50：暴走6回合：最终伤害+30%、敏捷+50%，每次攻击附带敏捷*0.1真实伤害</t>
  </si>
  <si>
    <t>沸血之毒</t>
  </si>
  <si>
    <t>耗能100，CD100：获得攻击*0.03真实伤害附伤（持续整场），造成最大能量*0.1伤害，敌方最终伤害降低最大能量*0.01%，持续100回合</t>
  </si>
  <si>
    <t>月华秘钥</t>
  </si>
  <si>
    <t>耗能20，CD18：恢复最大生命*0.1+最大能量*0.25，最终受伤-(15+能量*0.015)%，持续5回合</t>
  </si>
  <si>
    <t>月华守衡</t>
  </si>
  <si>
    <t>日月天衡冠、日月踏罡靴、月华之环</t>
  </si>
  <si>
    <t>被动：每回合按敌方血量切换：≥50%时最终受伤-(5+能量*0.01)%；&lt;50%时敏捷+(5+能量*0.01)%</t>
  </si>
  <si>
    <t>暴食</t>
  </si>
  <si>
    <t>耗能50，CD30：降低自身10%当前生命，获得能量*0.03%攻击和暴击加成，每回合恢复能量*0.02生命，持续10回合</t>
  </si>
  <si>
    <t>暴风扰动</t>
  </si>
  <si>
    <t>被动：每回合使敌方最终伤害-(5+能量*0.01)%</t>
  </si>
  <si>
    <t>日耀裁决</t>
  </si>
  <si>
    <t>耗能45，CD18：造成攻击*1.35+破甲+最大能量*0.5+回合数*4真实伤害，自身最终伤害+(5+能量*0.01)%，持续2回合</t>
  </si>
  <si>
    <t>日耀审判</t>
  </si>
  <si>
    <t>日月天衡冠、日月裁决、日耀之环</t>
  </si>
  <si>
    <t>耗能50，CD20：造成攻击*1.3+暴击*1.2+破甲+最大能量*0.5伤害，自身最终伤害+(5+能量*0.01)%，持续2回合</t>
  </si>
  <si>
    <t>无量通行</t>
  </si>
  <si>
    <t>耗能10，CD20：敏捷+(10+饰品强化等级)%，并必中，持续3回合</t>
  </si>
  <si>
    <t>岩火守望</t>
  </si>
  <si>
    <t>被动：战斗开始格挡+(头盔强化等级+能量*0.04)持续5回合，第6回合暴击+5%</t>
  </si>
  <si>
    <t>岩核蓄热</t>
  </si>
  <si>
    <t>被动：攻击+能量*0.03，穿透+(4+能量*0.005)</t>
  </si>
  <si>
    <t>山崩地裂</t>
  </si>
  <si>
    <t>耗能50，CD35：敌方敏捷-50%，持续10回合，并造成最大生命*0.8伤害</t>
  </si>
  <si>
    <t>封灵诀</t>
  </si>
  <si>
    <t>被动：能量上限-10%，获得等量敏捷提升（敏捷+最大能量*0.1）</t>
  </si>
  <si>
    <t>封灵暗幕</t>
  </si>
  <si>
    <t>永夜封灵冠、暗影棱镜</t>
  </si>
  <si>
    <t>耗能20，CD12：敌方攻击-(15+能量*0.02)%、治疗-40%，持续5回合</t>
  </si>
  <si>
    <t>守护</t>
  </si>
  <si>
    <t>被动：最终受伤-5%</t>
  </si>
  <si>
    <t>回溯织线</t>
  </si>
  <si>
    <t>时光之瞬面罩、永恒编织者甲胄、光阴秘钥</t>
  </si>
  <si>
    <t>耗能35，CD18：恢复最大生命*0.2+最大能量*0.1，最终受伤-(20+能量*0.01)%，持续3回合</t>
  </si>
  <si>
    <t>哀霜咏叹</t>
  </si>
  <si>
    <t>耗能28，CD12：造成攻击+最大能量*0.8伤害，敌方防御/敏捷各-(15+能量*0.01)%，持续5回合</t>
  </si>
  <si>
    <t>吞噬</t>
  </si>
  <si>
    <t>无尽吞噬甲、永饥之环</t>
  </si>
  <si>
    <t>耗能45，CD30：造成(最大能量+最大生命)*0.1真实伤害（不暴击），并眩晕2回合</t>
  </si>
  <si>
    <t>光阴疾斩</t>
  </si>
  <si>
    <t>耗能28，CD12：造成攻击*1.3+敏捷*0.65+最大能量*0.5伤害，并必中1回合</t>
  </si>
  <si>
    <t>光阴之力</t>
  </si>
  <si>
    <t>一寸朝夕、一寸暮色</t>
  </si>
  <si>
    <t>被动：攻击+15，破甲+15，敏捷+15</t>
  </si>
  <si>
    <t>低语回响</t>
  </si>
  <si>
    <t>耳语帷幕斗篷、深渊回响之坠</t>
  </si>
  <si>
    <t>被动：普攻附带(能量*0.02+护甲强化等级+饰品强化等级)真实伤害</t>
  </si>
  <si>
    <t>仲裁</t>
  </si>
  <si>
    <t>界律仲裁之枪、界律镇守之冠</t>
  </si>
  <si>
    <t>被动：第3回合开始，敌方防御-15%</t>
  </si>
  <si>
    <t>亡者均衡</t>
  </si>
  <si>
    <t>被动：敌方生命≥50%时最终受伤-(3+能量*0.01)%；&lt;50%时最终伤害+(3+能量*0.01)%</t>
  </si>
  <si>
    <t>亚龙威仪</t>
  </si>
  <si>
    <t>被动：第1回合攻击力提升50%</t>
  </si>
  <si>
    <t>亘古庇佑</t>
  </si>
  <si>
    <t>耗能20，CD20：最终受伤减免100%，持续2回合</t>
  </si>
  <si>
    <t>三连击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</si>
</sst>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00B0F0"/>
      <name val="等线"/>
      <family val="3"/>
      <charset val="134"/>
      <scheme val="minor"/>
    </font>
    <font>
      <sz val="11"/>
      <color rgb="FF15803D"/>
      <name val="等线"/>
      <family val="3"/>
      <charset val="134"/>
      <scheme val="minor"/>
    </font>
    <font>
      <sz val="11"/>
      <color rgb="FF6D28D9"/>
      <name val="等线"/>
      <family val="3"/>
      <charset val="134"/>
      <scheme val="minor"/>
    </font>
    <font>
      <sz val="11"/>
      <color rgb="FF1D4ED8"/>
      <name val="等线"/>
      <family val="3"/>
      <charset val="134"/>
      <scheme val="minor"/>
    </font>
    <font>
      <sz val="11"/>
      <color rgb="FFB91C1C"/>
      <name val="等线"/>
      <family val="3"/>
      <charset val="134"/>
      <scheme val="minor"/>
    </font>
    <font>
      <sz val="11"/>
      <color rgb="FF92400E"/>
      <name val="等线"/>
      <family val="3"/>
      <charset val="134"/>
      <scheme val="minor"/>
    </font>
    <font>
      <sz val="11"/>
      <color rgb="FFD12F60"/>
      <name val="等线"/>
      <family val="3"/>
      <charset val="134"/>
      <scheme val="minor"/>
    </font>
    <font>
      <sz val="11"/>
      <color rgb="FFB45309"/>
      <name val="等线"/>
      <family val="3"/>
      <charset val="134"/>
      <scheme val="minor"/>
    </font>
    <font>
      <sz val="11"/>
      <color rgb="FFD12F6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tabSelected="1" topLeftCell="A121" zoomScale="85" zoomScaleNormal="85" workbookViewId="0">
      <selection activeCell="O138" sqref="O138"/>
    </sheetView>
  </sheetViews>
  <sheetFormatPr defaultColWidth="8" defaultRowHeight="14" x14ac:dyDescent="0.3"/>
  <cols>
    <col min="1" max="1" width="9.75" customWidth="1"/>
    <col min="2" max="2" width="9.1640625" customWidth="1"/>
    <col min="3" max="3" width="18" customWidth="1"/>
    <col min="4" max="4" width="9.1640625" customWidth="1"/>
    <col min="5" max="6" width="6" customWidth="1"/>
    <col min="7" max="10" width="5.25" customWidth="1"/>
    <col min="11" max="11" width="7.1640625" customWidth="1"/>
    <col min="12" max="12" width="9.08203125" customWidth="1"/>
    <col min="13" max="13" width="9.6640625" customWidth="1"/>
    <col min="14" max="19" width="15.33203125" customWidth="1"/>
  </cols>
  <sheetData>
    <row r="1" spans="1:19" x14ac:dyDescent="0.3">
      <c r="A1" s="2" t="s">
        <v>539</v>
      </c>
      <c r="B1" s="7" t="s">
        <v>0</v>
      </c>
      <c r="C1" s="7" t="s">
        <v>1</v>
      </c>
      <c r="D1" s="7" t="s">
        <v>540</v>
      </c>
      <c r="E1" s="7" t="s">
        <v>541</v>
      </c>
      <c r="F1" s="7" t="s">
        <v>542</v>
      </c>
      <c r="G1" s="7" t="s">
        <v>5</v>
      </c>
      <c r="H1" s="7" t="s">
        <v>6</v>
      </c>
      <c r="I1" s="7" t="s">
        <v>4</v>
      </c>
      <c r="J1" s="7" t="s">
        <v>10</v>
      </c>
      <c r="K1" s="7" t="s">
        <v>543</v>
      </c>
      <c r="L1" s="7" t="s">
        <v>544</v>
      </c>
      <c r="M1" s="7" t="s">
        <v>545</v>
      </c>
      <c r="N1" s="2" t="s">
        <v>546</v>
      </c>
      <c r="O1" s="2" t="s">
        <v>547</v>
      </c>
      <c r="P1" s="2" t="s">
        <v>548</v>
      </c>
      <c r="Q1" s="2" t="s">
        <v>549</v>
      </c>
      <c r="R1" s="2" t="s">
        <v>550</v>
      </c>
      <c r="S1" s="2" t="s">
        <v>551</v>
      </c>
    </row>
    <row r="2" spans="1:19" x14ac:dyDescent="0.3">
      <c r="A2" t="s">
        <v>552</v>
      </c>
      <c r="B2" s="8" t="s">
        <v>12</v>
      </c>
      <c r="C2" s="9" t="s">
        <v>553</v>
      </c>
      <c r="D2" s="8" t="s">
        <v>554</v>
      </c>
      <c r="E2" s="8">
        <v>50</v>
      </c>
      <c r="F2" s="8">
        <v>10</v>
      </c>
      <c r="G2" s="8">
        <v>14</v>
      </c>
      <c r="H2" s="8">
        <v>10</v>
      </c>
      <c r="I2" s="8">
        <v>60</v>
      </c>
      <c r="J2" s="8">
        <v>20</v>
      </c>
      <c r="K2" s="8">
        <f t="shared" ref="K2:K33" si="0">ROUND(H2/(H2+100),4)</f>
        <v>9.0899999999999995E-2</v>
      </c>
      <c r="L2" s="8">
        <f t="shared" ref="L2:L33" si="1">ROUND(I2*(H2+100)/100,2)</f>
        <v>66</v>
      </c>
      <c r="M2" s="8">
        <f t="shared" ref="M2:M33" si="2">ROUND(L2*G2,2)</f>
        <v>924</v>
      </c>
    </row>
    <row r="3" spans="1:19" x14ac:dyDescent="0.3">
      <c r="A3">
        <v>1</v>
      </c>
      <c r="B3" s="8" t="s">
        <v>15</v>
      </c>
      <c r="C3" s="9" t="s">
        <v>555</v>
      </c>
      <c r="D3" s="8" t="s">
        <v>554</v>
      </c>
      <c r="E3" s="8">
        <v>40</v>
      </c>
      <c r="F3" s="8">
        <v>8</v>
      </c>
      <c r="G3" s="8">
        <v>20</v>
      </c>
      <c r="H3" s="8">
        <v>3</v>
      </c>
      <c r="I3" s="8">
        <v>60</v>
      </c>
      <c r="J3" s="8">
        <v>25</v>
      </c>
      <c r="K3" s="8">
        <f t="shared" si="0"/>
        <v>2.9100000000000001E-2</v>
      </c>
      <c r="L3" s="8">
        <f t="shared" si="1"/>
        <v>61.8</v>
      </c>
      <c r="M3" s="8">
        <f t="shared" si="2"/>
        <v>1236</v>
      </c>
    </row>
    <row r="4" spans="1:19" x14ac:dyDescent="0.3">
      <c r="A4">
        <v>1</v>
      </c>
      <c r="B4" s="8" t="s">
        <v>17</v>
      </c>
      <c r="C4" s="9" t="s">
        <v>556</v>
      </c>
      <c r="D4" s="8" t="s">
        <v>554</v>
      </c>
      <c r="E4" s="8">
        <v>40</v>
      </c>
      <c r="F4" s="8">
        <v>8</v>
      </c>
      <c r="G4" s="8">
        <v>18</v>
      </c>
      <c r="H4" s="8">
        <v>5</v>
      </c>
      <c r="I4" s="8">
        <v>60</v>
      </c>
      <c r="J4" s="8">
        <v>20</v>
      </c>
      <c r="K4" s="8">
        <f t="shared" si="0"/>
        <v>4.7600000000000003E-2</v>
      </c>
      <c r="L4" s="8">
        <f t="shared" si="1"/>
        <v>63</v>
      </c>
      <c r="M4" s="8">
        <f t="shared" si="2"/>
        <v>1134</v>
      </c>
    </row>
    <row r="5" spans="1:19" x14ac:dyDescent="0.3">
      <c r="A5">
        <v>1</v>
      </c>
      <c r="B5" s="8" t="s">
        <v>19</v>
      </c>
      <c r="C5" s="9" t="s">
        <v>557</v>
      </c>
      <c r="D5" s="8" t="s">
        <v>554</v>
      </c>
      <c r="E5" s="8">
        <v>70</v>
      </c>
      <c r="F5" s="8">
        <v>15</v>
      </c>
      <c r="G5" s="8">
        <v>14</v>
      </c>
      <c r="H5" s="8">
        <v>16</v>
      </c>
      <c r="I5" s="8">
        <v>90</v>
      </c>
      <c r="J5" s="8">
        <v>10</v>
      </c>
      <c r="K5" s="8">
        <f t="shared" si="0"/>
        <v>0.13789999999999999</v>
      </c>
      <c r="L5" s="8">
        <f t="shared" si="1"/>
        <v>104.4</v>
      </c>
      <c r="M5" s="8">
        <f t="shared" si="2"/>
        <v>1461.6</v>
      </c>
    </row>
    <row r="6" spans="1:19" x14ac:dyDescent="0.3">
      <c r="A6">
        <v>1</v>
      </c>
      <c r="B6" s="8" t="s">
        <v>21</v>
      </c>
      <c r="C6" s="9" t="s">
        <v>558</v>
      </c>
      <c r="D6" s="8" t="s">
        <v>554</v>
      </c>
      <c r="E6" s="8">
        <v>60</v>
      </c>
      <c r="F6" s="8">
        <v>12</v>
      </c>
      <c r="G6" s="8">
        <v>16</v>
      </c>
      <c r="H6" s="8">
        <v>9</v>
      </c>
      <c r="I6" s="8">
        <v>70</v>
      </c>
      <c r="J6" s="8">
        <v>12</v>
      </c>
      <c r="K6" s="8">
        <f t="shared" si="0"/>
        <v>8.2600000000000007E-2</v>
      </c>
      <c r="L6" s="8">
        <f t="shared" si="1"/>
        <v>76.3</v>
      </c>
      <c r="M6" s="8">
        <f t="shared" si="2"/>
        <v>1220.8</v>
      </c>
    </row>
    <row r="7" spans="1:19" x14ac:dyDescent="0.3">
      <c r="A7">
        <v>1</v>
      </c>
      <c r="B7" s="8" t="s">
        <v>24</v>
      </c>
      <c r="C7" s="9" t="s">
        <v>559</v>
      </c>
      <c r="D7" s="8" t="s">
        <v>554</v>
      </c>
      <c r="E7" s="8">
        <v>60</v>
      </c>
      <c r="F7" s="8">
        <v>12</v>
      </c>
      <c r="G7" s="8">
        <v>20</v>
      </c>
      <c r="H7" s="8">
        <v>10</v>
      </c>
      <c r="I7" s="8">
        <v>70</v>
      </c>
      <c r="J7" s="8">
        <v>18</v>
      </c>
      <c r="K7" s="8">
        <f t="shared" si="0"/>
        <v>9.0899999999999995E-2</v>
      </c>
      <c r="L7" s="8">
        <f t="shared" si="1"/>
        <v>77</v>
      </c>
      <c r="M7" s="8">
        <f t="shared" si="2"/>
        <v>1540</v>
      </c>
    </row>
    <row r="8" spans="1:19" x14ac:dyDescent="0.3">
      <c r="A8">
        <v>1</v>
      </c>
      <c r="B8" s="8" t="s">
        <v>26</v>
      </c>
      <c r="C8" s="10" t="s">
        <v>560</v>
      </c>
      <c r="D8" s="8" t="s">
        <v>561</v>
      </c>
      <c r="E8" s="8">
        <v>60</v>
      </c>
      <c r="F8" s="8">
        <v>12</v>
      </c>
      <c r="G8" s="8">
        <v>10</v>
      </c>
      <c r="H8" s="8">
        <v>30</v>
      </c>
      <c r="I8" s="8">
        <v>65</v>
      </c>
      <c r="J8" s="8">
        <v>8</v>
      </c>
      <c r="K8" s="8">
        <f t="shared" si="0"/>
        <v>0.23080000000000001</v>
      </c>
      <c r="L8" s="8">
        <f t="shared" si="1"/>
        <v>84.5</v>
      </c>
      <c r="M8" s="8">
        <f t="shared" si="2"/>
        <v>845</v>
      </c>
      <c r="N8" t="s">
        <v>49</v>
      </c>
    </row>
    <row r="9" spans="1:19" x14ac:dyDescent="0.3">
      <c r="A9">
        <v>1</v>
      </c>
      <c r="B9" s="8" t="s">
        <v>28</v>
      </c>
      <c r="C9" s="10" t="s">
        <v>562</v>
      </c>
      <c r="D9" s="8" t="s">
        <v>561</v>
      </c>
      <c r="E9" s="8">
        <v>60</v>
      </c>
      <c r="F9" s="8">
        <v>10</v>
      </c>
      <c r="G9" s="8">
        <v>10</v>
      </c>
      <c r="H9" s="8">
        <v>25</v>
      </c>
      <c r="I9" s="8">
        <v>80</v>
      </c>
      <c r="J9" s="8">
        <v>5</v>
      </c>
      <c r="K9" s="8">
        <f t="shared" si="0"/>
        <v>0.2</v>
      </c>
      <c r="L9" s="8">
        <f t="shared" si="1"/>
        <v>100</v>
      </c>
      <c r="M9" s="8">
        <f t="shared" si="2"/>
        <v>1000</v>
      </c>
      <c r="N9" s="3" t="s">
        <v>52</v>
      </c>
    </row>
    <row r="10" spans="1:19" x14ac:dyDescent="0.3">
      <c r="A10">
        <v>1</v>
      </c>
      <c r="B10" s="8" t="s">
        <v>30</v>
      </c>
      <c r="C10" s="10" t="s">
        <v>563</v>
      </c>
      <c r="D10" s="8" t="s">
        <v>561</v>
      </c>
      <c r="E10" s="8">
        <v>60</v>
      </c>
      <c r="F10" s="8">
        <v>12</v>
      </c>
      <c r="G10" s="8">
        <v>16</v>
      </c>
      <c r="H10" s="8">
        <v>8</v>
      </c>
      <c r="I10" s="8">
        <v>70</v>
      </c>
      <c r="J10" s="8">
        <v>18</v>
      </c>
      <c r="K10" s="8">
        <f t="shared" si="0"/>
        <v>7.4099999999999999E-2</v>
      </c>
      <c r="L10" s="8">
        <f t="shared" si="1"/>
        <v>75.599999999999994</v>
      </c>
      <c r="M10" s="8">
        <f t="shared" si="2"/>
        <v>1209.5999999999999</v>
      </c>
      <c r="N10" t="s">
        <v>43</v>
      </c>
    </row>
    <row r="11" spans="1:19" x14ac:dyDescent="0.3">
      <c r="A11">
        <v>1</v>
      </c>
      <c r="B11" s="8" t="s">
        <v>33</v>
      </c>
      <c r="C11" s="11" t="s">
        <v>564</v>
      </c>
      <c r="D11" s="8" t="s">
        <v>565</v>
      </c>
      <c r="E11" s="8">
        <v>150</v>
      </c>
      <c r="F11" s="8">
        <v>30</v>
      </c>
      <c r="G11" s="8">
        <v>20</v>
      </c>
      <c r="H11" s="8">
        <v>10</v>
      </c>
      <c r="I11" s="8">
        <v>140</v>
      </c>
      <c r="J11" s="8">
        <v>8</v>
      </c>
      <c r="K11" s="8">
        <f t="shared" si="0"/>
        <v>9.0899999999999995E-2</v>
      </c>
      <c r="L11" s="8">
        <f t="shared" si="1"/>
        <v>154</v>
      </c>
      <c r="M11" s="8">
        <f t="shared" si="2"/>
        <v>3080</v>
      </c>
      <c r="N11" s="3" t="s">
        <v>94</v>
      </c>
      <c r="O11" t="s">
        <v>18</v>
      </c>
      <c r="P11" t="s">
        <v>43</v>
      </c>
    </row>
    <row r="12" spans="1:19" x14ac:dyDescent="0.3">
      <c r="A12" t="s">
        <v>566</v>
      </c>
      <c r="B12" s="8" t="s">
        <v>35</v>
      </c>
      <c r="C12" s="9" t="s">
        <v>567</v>
      </c>
      <c r="D12" s="8" t="s">
        <v>554</v>
      </c>
      <c r="E12" s="8">
        <v>58</v>
      </c>
      <c r="F12" s="8">
        <v>20</v>
      </c>
      <c r="G12" s="8">
        <v>20</v>
      </c>
      <c r="H12" s="8">
        <v>15</v>
      </c>
      <c r="I12" s="8">
        <v>120</v>
      </c>
      <c r="J12" s="8">
        <v>15</v>
      </c>
      <c r="K12" s="8">
        <f t="shared" si="0"/>
        <v>0.13039999999999999</v>
      </c>
      <c r="L12" s="8">
        <f t="shared" si="1"/>
        <v>138</v>
      </c>
      <c r="M12" s="8">
        <f t="shared" si="2"/>
        <v>2760</v>
      </c>
    </row>
    <row r="13" spans="1:19" x14ac:dyDescent="0.3">
      <c r="A13">
        <v>2</v>
      </c>
      <c r="B13" s="8" t="s">
        <v>37</v>
      </c>
      <c r="C13" s="9" t="s">
        <v>568</v>
      </c>
      <c r="D13" s="8" t="s">
        <v>554</v>
      </c>
      <c r="E13" s="8">
        <v>65</v>
      </c>
      <c r="F13" s="8">
        <v>18</v>
      </c>
      <c r="G13" s="8">
        <v>30</v>
      </c>
      <c r="H13" s="8">
        <v>12</v>
      </c>
      <c r="I13" s="8">
        <v>100</v>
      </c>
      <c r="J13" s="8">
        <v>12</v>
      </c>
      <c r="K13" s="8">
        <f t="shared" si="0"/>
        <v>0.1071</v>
      </c>
      <c r="L13" s="8">
        <f t="shared" si="1"/>
        <v>112</v>
      </c>
      <c r="M13" s="8">
        <f t="shared" si="2"/>
        <v>3360</v>
      </c>
    </row>
    <row r="14" spans="1:19" x14ac:dyDescent="0.3">
      <c r="A14">
        <v>2</v>
      </c>
      <c r="B14" s="8" t="s">
        <v>39</v>
      </c>
      <c r="C14" s="9" t="s">
        <v>569</v>
      </c>
      <c r="D14" s="8" t="s">
        <v>554</v>
      </c>
      <c r="E14" s="8">
        <v>72</v>
      </c>
      <c r="F14" s="8">
        <v>22</v>
      </c>
      <c r="G14" s="8">
        <v>25</v>
      </c>
      <c r="H14" s="8">
        <v>10</v>
      </c>
      <c r="I14" s="8">
        <v>140</v>
      </c>
      <c r="J14" s="8">
        <v>15</v>
      </c>
      <c r="K14" s="8">
        <f t="shared" si="0"/>
        <v>9.0899999999999995E-2</v>
      </c>
      <c r="L14" s="8">
        <f t="shared" si="1"/>
        <v>154</v>
      </c>
      <c r="M14" s="8">
        <f t="shared" si="2"/>
        <v>3850</v>
      </c>
      <c r="N14" t="s">
        <v>36</v>
      </c>
    </row>
    <row r="15" spans="1:19" x14ac:dyDescent="0.3">
      <c r="A15">
        <v>2</v>
      </c>
      <c r="B15" s="8" t="s">
        <v>42</v>
      </c>
      <c r="C15" s="9" t="s">
        <v>570</v>
      </c>
      <c r="D15" s="8" t="s">
        <v>554</v>
      </c>
      <c r="E15" s="8">
        <v>60</v>
      </c>
      <c r="F15" s="8">
        <v>20</v>
      </c>
      <c r="G15" s="8">
        <v>35</v>
      </c>
      <c r="H15" s="8">
        <v>10</v>
      </c>
      <c r="I15" s="8">
        <v>85</v>
      </c>
      <c r="J15" s="8">
        <v>18</v>
      </c>
      <c r="K15" s="8">
        <f t="shared" si="0"/>
        <v>9.0899999999999995E-2</v>
      </c>
      <c r="L15" s="8">
        <f t="shared" si="1"/>
        <v>93.5</v>
      </c>
      <c r="M15" s="8">
        <f t="shared" si="2"/>
        <v>3272.5</v>
      </c>
    </row>
    <row r="16" spans="1:19" x14ac:dyDescent="0.3">
      <c r="A16">
        <v>2</v>
      </c>
      <c r="B16" s="8" t="s">
        <v>44</v>
      </c>
      <c r="C16" s="9" t="s">
        <v>571</v>
      </c>
      <c r="D16" s="8" t="s">
        <v>554</v>
      </c>
      <c r="E16" s="8">
        <v>66</v>
      </c>
      <c r="F16" s="8">
        <v>20</v>
      </c>
      <c r="G16" s="8">
        <v>15</v>
      </c>
      <c r="H16" s="8">
        <v>25</v>
      </c>
      <c r="I16" s="8">
        <v>160</v>
      </c>
      <c r="J16" s="8">
        <v>20</v>
      </c>
      <c r="K16" s="8">
        <f t="shared" si="0"/>
        <v>0.2</v>
      </c>
      <c r="L16" s="8">
        <f t="shared" si="1"/>
        <v>200</v>
      </c>
      <c r="M16" s="8">
        <f t="shared" si="2"/>
        <v>3000</v>
      </c>
      <c r="N16" t="s">
        <v>54</v>
      </c>
    </row>
    <row r="17" spans="1:16" x14ac:dyDescent="0.3">
      <c r="A17">
        <v>2</v>
      </c>
      <c r="B17" s="8" t="s">
        <v>46</v>
      </c>
      <c r="C17" s="9" t="s">
        <v>572</v>
      </c>
      <c r="D17" s="8" t="s">
        <v>554</v>
      </c>
      <c r="E17" s="8">
        <v>62</v>
      </c>
      <c r="F17" s="8">
        <v>20</v>
      </c>
      <c r="G17" s="8">
        <v>30</v>
      </c>
      <c r="H17" s="8">
        <v>12</v>
      </c>
      <c r="I17" s="8">
        <v>100</v>
      </c>
      <c r="J17" s="8">
        <v>18</v>
      </c>
      <c r="K17" s="8">
        <f t="shared" si="0"/>
        <v>0.1071</v>
      </c>
      <c r="L17" s="8">
        <f t="shared" si="1"/>
        <v>112</v>
      </c>
      <c r="M17" s="8">
        <f t="shared" si="2"/>
        <v>3360</v>
      </c>
      <c r="N17" t="s">
        <v>573</v>
      </c>
    </row>
    <row r="18" spans="1:16" x14ac:dyDescent="0.3">
      <c r="A18">
        <v>2</v>
      </c>
      <c r="B18" s="8" t="s">
        <v>48</v>
      </c>
      <c r="C18" s="10" t="s">
        <v>574</v>
      </c>
      <c r="D18" s="8" t="s">
        <v>561</v>
      </c>
      <c r="E18" s="8">
        <v>65</v>
      </c>
      <c r="F18" s="8">
        <v>25</v>
      </c>
      <c r="G18" s="8">
        <v>30</v>
      </c>
      <c r="H18" s="8">
        <v>15</v>
      </c>
      <c r="I18" s="8">
        <v>115</v>
      </c>
      <c r="J18" s="8">
        <v>18</v>
      </c>
      <c r="K18" s="8">
        <f t="shared" si="0"/>
        <v>0.13039999999999999</v>
      </c>
      <c r="L18" s="8">
        <f t="shared" si="1"/>
        <v>132.25</v>
      </c>
      <c r="M18" s="8">
        <f t="shared" si="2"/>
        <v>3967.5</v>
      </c>
      <c r="N18" t="s">
        <v>29</v>
      </c>
      <c r="O18" t="s">
        <v>47</v>
      </c>
    </row>
    <row r="19" spans="1:16" x14ac:dyDescent="0.3">
      <c r="A19">
        <v>2</v>
      </c>
      <c r="B19" s="8" t="s">
        <v>51</v>
      </c>
      <c r="C19" s="10" t="s">
        <v>575</v>
      </c>
      <c r="D19" s="8" t="s">
        <v>561</v>
      </c>
      <c r="E19" s="8">
        <v>85</v>
      </c>
      <c r="F19" s="8">
        <v>25</v>
      </c>
      <c r="G19" s="8">
        <v>18</v>
      </c>
      <c r="H19" s="8">
        <v>20</v>
      </c>
      <c r="I19" s="8">
        <v>180</v>
      </c>
      <c r="J19" s="8">
        <v>8</v>
      </c>
      <c r="K19" s="8">
        <f t="shared" si="0"/>
        <v>0.16669999999999999</v>
      </c>
      <c r="L19" s="8">
        <f t="shared" si="1"/>
        <v>216</v>
      </c>
      <c r="M19" s="8">
        <f t="shared" si="2"/>
        <v>3888</v>
      </c>
      <c r="N19" t="s">
        <v>27</v>
      </c>
      <c r="O19" s="3" t="s">
        <v>52</v>
      </c>
    </row>
    <row r="20" spans="1:16" x14ac:dyDescent="0.3">
      <c r="A20">
        <v>2</v>
      </c>
      <c r="B20" s="8" t="s">
        <v>53</v>
      </c>
      <c r="C20" s="10" t="s">
        <v>576</v>
      </c>
      <c r="D20" s="8" t="s">
        <v>561</v>
      </c>
      <c r="E20" s="8">
        <v>80</v>
      </c>
      <c r="F20" s="8">
        <v>20</v>
      </c>
      <c r="G20" s="8">
        <v>16</v>
      </c>
      <c r="H20" s="8">
        <v>25</v>
      </c>
      <c r="I20" s="8">
        <v>150</v>
      </c>
      <c r="J20" s="8">
        <v>18</v>
      </c>
      <c r="K20" s="8">
        <f t="shared" si="0"/>
        <v>0.2</v>
      </c>
      <c r="L20" s="8">
        <f t="shared" si="1"/>
        <v>187.5</v>
      </c>
      <c r="M20" s="8">
        <f t="shared" si="2"/>
        <v>3000</v>
      </c>
      <c r="N20" t="s">
        <v>45</v>
      </c>
      <c r="O20" t="s">
        <v>49</v>
      </c>
    </row>
    <row r="21" spans="1:16" x14ac:dyDescent="0.3">
      <c r="A21">
        <v>2</v>
      </c>
      <c r="B21" s="8" t="s">
        <v>55</v>
      </c>
      <c r="C21" s="11" t="s">
        <v>577</v>
      </c>
      <c r="D21" s="8" t="s">
        <v>565</v>
      </c>
      <c r="E21" s="8">
        <v>260</v>
      </c>
      <c r="F21" s="8">
        <v>50</v>
      </c>
      <c r="G21" s="8">
        <v>30</v>
      </c>
      <c r="H21" s="8">
        <v>25</v>
      </c>
      <c r="I21" s="8">
        <v>250</v>
      </c>
      <c r="J21" s="8">
        <v>25</v>
      </c>
      <c r="K21" s="8">
        <f t="shared" si="0"/>
        <v>0.2</v>
      </c>
      <c r="L21" s="8">
        <f t="shared" si="1"/>
        <v>312.5</v>
      </c>
      <c r="M21" s="8">
        <f t="shared" si="2"/>
        <v>9375</v>
      </c>
      <c r="N21" s="3" t="s">
        <v>84</v>
      </c>
      <c r="O21" s="3" t="s">
        <v>82</v>
      </c>
    </row>
    <row r="22" spans="1:16" x14ac:dyDescent="0.3">
      <c r="A22" t="s">
        <v>578</v>
      </c>
      <c r="B22" s="8" t="s">
        <v>57</v>
      </c>
      <c r="C22" s="9" t="s">
        <v>579</v>
      </c>
      <c r="D22" s="8" t="s">
        <v>554</v>
      </c>
      <c r="E22" s="8">
        <v>70</v>
      </c>
      <c r="F22" s="8">
        <v>35</v>
      </c>
      <c r="G22" s="8">
        <v>30</v>
      </c>
      <c r="H22" s="8">
        <v>20</v>
      </c>
      <c r="I22" s="8">
        <v>200</v>
      </c>
      <c r="J22" s="8">
        <v>10</v>
      </c>
      <c r="K22" s="8">
        <f t="shared" si="0"/>
        <v>0.16669999999999999</v>
      </c>
      <c r="L22" s="8">
        <f t="shared" si="1"/>
        <v>240</v>
      </c>
      <c r="M22" s="8">
        <f t="shared" si="2"/>
        <v>7200</v>
      </c>
    </row>
    <row r="23" spans="1:16" x14ac:dyDescent="0.3">
      <c r="A23">
        <v>3</v>
      </c>
      <c r="B23" s="8" t="s">
        <v>60</v>
      </c>
      <c r="C23" s="9" t="s">
        <v>580</v>
      </c>
      <c r="D23" s="8" t="s">
        <v>554</v>
      </c>
      <c r="E23" s="8">
        <v>95</v>
      </c>
      <c r="F23" s="8">
        <v>38</v>
      </c>
      <c r="G23" s="8">
        <v>35</v>
      </c>
      <c r="H23" s="8">
        <v>25</v>
      </c>
      <c r="I23" s="8">
        <v>250</v>
      </c>
      <c r="J23" s="8">
        <v>18</v>
      </c>
      <c r="K23" s="8">
        <f t="shared" si="0"/>
        <v>0.2</v>
      </c>
      <c r="L23" s="8">
        <f t="shared" si="1"/>
        <v>312.5</v>
      </c>
      <c r="M23" s="8">
        <f t="shared" si="2"/>
        <v>10937.5</v>
      </c>
    </row>
    <row r="24" spans="1:16" x14ac:dyDescent="0.3">
      <c r="A24">
        <v>3</v>
      </c>
      <c r="B24" s="8" t="s">
        <v>62</v>
      </c>
      <c r="C24" s="9" t="s">
        <v>581</v>
      </c>
      <c r="D24" s="8" t="s">
        <v>554</v>
      </c>
      <c r="E24" s="8">
        <v>75</v>
      </c>
      <c r="F24" s="8">
        <v>30</v>
      </c>
      <c r="G24" s="8">
        <v>30</v>
      </c>
      <c r="H24" s="8">
        <v>20</v>
      </c>
      <c r="I24" s="8">
        <v>220</v>
      </c>
      <c r="J24" s="8">
        <v>15</v>
      </c>
      <c r="K24" s="8">
        <f t="shared" si="0"/>
        <v>0.16669999999999999</v>
      </c>
      <c r="L24" s="8">
        <f t="shared" si="1"/>
        <v>264</v>
      </c>
      <c r="M24" s="8">
        <f t="shared" si="2"/>
        <v>7920</v>
      </c>
    </row>
    <row r="25" spans="1:16" x14ac:dyDescent="0.3">
      <c r="A25">
        <v>3</v>
      </c>
      <c r="B25" s="8" t="s">
        <v>64</v>
      </c>
      <c r="C25" s="9" t="s">
        <v>582</v>
      </c>
      <c r="D25" s="8" t="s">
        <v>554</v>
      </c>
      <c r="E25" s="8">
        <v>85</v>
      </c>
      <c r="F25" s="8">
        <v>45</v>
      </c>
      <c r="G25" s="8">
        <v>50</v>
      </c>
      <c r="H25" s="8">
        <v>20</v>
      </c>
      <c r="I25" s="8">
        <v>270</v>
      </c>
      <c r="J25" s="8">
        <v>5</v>
      </c>
      <c r="K25" s="8">
        <f t="shared" si="0"/>
        <v>0.16669999999999999</v>
      </c>
      <c r="L25" s="8">
        <f t="shared" si="1"/>
        <v>324</v>
      </c>
      <c r="M25" s="8">
        <f t="shared" si="2"/>
        <v>16200</v>
      </c>
    </row>
    <row r="26" spans="1:16" x14ac:dyDescent="0.3">
      <c r="A26">
        <v>3</v>
      </c>
      <c r="B26" s="8" t="s">
        <v>66</v>
      </c>
      <c r="C26" s="9" t="s">
        <v>583</v>
      </c>
      <c r="D26" s="8" t="s">
        <v>554</v>
      </c>
      <c r="E26" s="8">
        <v>72</v>
      </c>
      <c r="F26" s="8">
        <v>45</v>
      </c>
      <c r="G26" s="8">
        <v>65</v>
      </c>
      <c r="H26" s="8">
        <v>10</v>
      </c>
      <c r="I26" s="8">
        <v>160</v>
      </c>
      <c r="J26" s="8">
        <v>10</v>
      </c>
      <c r="K26" s="8">
        <f t="shared" si="0"/>
        <v>9.0899999999999995E-2</v>
      </c>
      <c r="L26" s="8">
        <f t="shared" si="1"/>
        <v>176</v>
      </c>
      <c r="M26" s="8">
        <f t="shared" si="2"/>
        <v>11440</v>
      </c>
    </row>
    <row r="27" spans="1:16" x14ac:dyDescent="0.3">
      <c r="A27">
        <v>3</v>
      </c>
      <c r="B27" s="8" t="s">
        <v>68</v>
      </c>
      <c r="C27" s="9" t="s">
        <v>584</v>
      </c>
      <c r="D27" s="8" t="s">
        <v>554</v>
      </c>
      <c r="E27" s="8">
        <v>80</v>
      </c>
      <c r="F27" s="8">
        <v>42</v>
      </c>
      <c r="G27" s="8">
        <v>50</v>
      </c>
      <c r="H27" s="8">
        <v>15</v>
      </c>
      <c r="I27" s="8">
        <v>200</v>
      </c>
      <c r="J27" s="8">
        <v>25</v>
      </c>
      <c r="K27" s="8">
        <f t="shared" si="0"/>
        <v>0.13039999999999999</v>
      </c>
      <c r="L27" s="8">
        <f t="shared" si="1"/>
        <v>230</v>
      </c>
      <c r="M27" s="8">
        <f t="shared" si="2"/>
        <v>11500</v>
      </c>
    </row>
    <row r="28" spans="1:16" x14ac:dyDescent="0.3">
      <c r="A28">
        <v>3</v>
      </c>
      <c r="B28" s="8" t="s">
        <v>70</v>
      </c>
      <c r="C28" s="10" t="s">
        <v>585</v>
      </c>
      <c r="D28" s="8" t="s">
        <v>561</v>
      </c>
      <c r="E28" s="8">
        <v>100</v>
      </c>
      <c r="F28" s="8">
        <v>45</v>
      </c>
      <c r="G28" s="8">
        <v>35</v>
      </c>
      <c r="H28" s="8">
        <v>20</v>
      </c>
      <c r="I28" s="8">
        <v>260</v>
      </c>
      <c r="J28" s="8">
        <v>20</v>
      </c>
      <c r="K28" s="8">
        <f t="shared" si="0"/>
        <v>0.16669999999999999</v>
      </c>
      <c r="L28" s="8">
        <f t="shared" si="1"/>
        <v>312</v>
      </c>
      <c r="M28" s="8">
        <f t="shared" si="2"/>
        <v>10920</v>
      </c>
    </row>
    <row r="29" spans="1:16" x14ac:dyDescent="0.3">
      <c r="A29">
        <v>3</v>
      </c>
      <c r="B29" s="8" t="s">
        <v>72</v>
      </c>
      <c r="C29" s="10" t="s">
        <v>586</v>
      </c>
      <c r="D29" s="8" t="s">
        <v>561</v>
      </c>
      <c r="E29" s="8">
        <v>100</v>
      </c>
      <c r="F29" s="8">
        <v>45</v>
      </c>
      <c r="G29" s="8">
        <v>30</v>
      </c>
      <c r="H29" s="8">
        <v>30</v>
      </c>
      <c r="I29" s="8">
        <v>280</v>
      </c>
      <c r="J29" s="8">
        <v>25</v>
      </c>
      <c r="K29" s="8">
        <f t="shared" si="0"/>
        <v>0.23080000000000001</v>
      </c>
      <c r="L29" s="8">
        <f t="shared" si="1"/>
        <v>364</v>
      </c>
      <c r="M29" s="8">
        <f t="shared" si="2"/>
        <v>10920</v>
      </c>
      <c r="N29" t="s">
        <v>29</v>
      </c>
      <c r="O29" s="3" t="s">
        <v>52</v>
      </c>
    </row>
    <row r="30" spans="1:16" x14ac:dyDescent="0.3">
      <c r="A30">
        <v>3</v>
      </c>
      <c r="B30" s="8" t="s">
        <v>74</v>
      </c>
      <c r="C30" s="11" t="s">
        <v>587</v>
      </c>
      <c r="D30" s="8" t="s">
        <v>565</v>
      </c>
      <c r="E30" s="8">
        <v>320</v>
      </c>
      <c r="F30" s="8">
        <v>120</v>
      </c>
      <c r="G30" s="8">
        <v>50</v>
      </c>
      <c r="H30" s="8">
        <v>30</v>
      </c>
      <c r="I30" s="8">
        <v>450</v>
      </c>
      <c r="J30" s="8">
        <v>15</v>
      </c>
      <c r="K30" s="8">
        <f t="shared" si="0"/>
        <v>0.23080000000000001</v>
      </c>
      <c r="L30" s="8">
        <f t="shared" si="1"/>
        <v>585</v>
      </c>
      <c r="M30" s="8">
        <f t="shared" si="2"/>
        <v>29250</v>
      </c>
      <c r="N30" s="3" t="s">
        <v>88</v>
      </c>
      <c r="O30" t="s">
        <v>588</v>
      </c>
      <c r="P30" t="s">
        <v>20</v>
      </c>
    </row>
    <row r="31" spans="1:16" x14ac:dyDescent="0.3">
      <c r="A31">
        <v>3</v>
      </c>
      <c r="B31" s="8" t="s">
        <v>76</v>
      </c>
      <c r="C31" s="11" t="s">
        <v>589</v>
      </c>
      <c r="D31" s="8" t="s">
        <v>565</v>
      </c>
      <c r="E31" s="8">
        <v>300</v>
      </c>
      <c r="F31" s="8">
        <v>100</v>
      </c>
      <c r="G31" s="8">
        <v>40</v>
      </c>
      <c r="H31" s="8">
        <v>40</v>
      </c>
      <c r="I31" s="8">
        <v>400</v>
      </c>
      <c r="J31" s="8">
        <v>25</v>
      </c>
      <c r="K31" s="8">
        <f t="shared" si="0"/>
        <v>0.28570000000000001</v>
      </c>
      <c r="L31" s="8">
        <f t="shared" si="1"/>
        <v>560</v>
      </c>
      <c r="M31" s="8">
        <f t="shared" si="2"/>
        <v>22400</v>
      </c>
      <c r="N31" s="3" t="s">
        <v>86</v>
      </c>
      <c r="O31" t="s">
        <v>38</v>
      </c>
      <c r="P31" t="s">
        <v>54</v>
      </c>
    </row>
    <row r="32" spans="1:16" x14ac:dyDescent="0.3">
      <c r="A32">
        <v>3</v>
      </c>
      <c r="B32" s="8" t="s">
        <v>79</v>
      </c>
      <c r="C32" s="11" t="s">
        <v>590</v>
      </c>
      <c r="D32" s="8" t="s">
        <v>565</v>
      </c>
      <c r="E32" s="8">
        <v>5000</v>
      </c>
      <c r="F32" s="8">
        <v>5000</v>
      </c>
      <c r="G32" s="8">
        <v>70</v>
      </c>
      <c r="H32" s="8">
        <v>100</v>
      </c>
      <c r="I32" s="8">
        <v>1000</v>
      </c>
      <c r="J32" s="8">
        <v>5</v>
      </c>
      <c r="K32" s="8">
        <f t="shared" si="0"/>
        <v>0.5</v>
      </c>
      <c r="L32" s="8">
        <f t="shared" si="1"/>
        <v>2000</v>
      </c>
      <c r="M32" s="8">
        <f t="shared" si="2"/>
        <v>140000</v>
      </c>
      <c r="N32" s="3" t="s">
        <v>58</v>
      </c>
    </row>
    <row r="33" spans="1:17" x14ac:dyDescent="0.3">
      <c r="A33" t="s">
        <v>591</v>
      </c>
      <c r="B33" s="8" t="s">
        <v>81</v>
      </c>
      <c r="C33" s="9" t="s">
        <v>592</v>
      </c>
      <c r="D33" s="8" t="s">
        <v>554</v>
      </c>
      <c r="E33" s="8">
        <v>110</v>
      </c>
      <c r="F33" s="8">
        <v>70</v>
      </c>
      <c r="G33" s="8">
        <v>35</v>
      </c>
      <c r="H33" s="8">
        <v>30</v>
      </c>
      <c r="I33" s="8">
        <v>350</v>
      </c>
      <c r="J33" s="8">
        <v>30</v>
      </c>
      <c r="K33" s="8">
        <f t="shared" si="0"/>
        <v>0.23080000000000001</v>
      </c>
      <c r="L33" s="8">
        <f t="shared" si="1"/>
        <v>455</v>
      </c>
      <c r="M33" s="8">
        <f t="shared" si="2"/>
        <v>15925</v>
      </c>
    </row>
    <row r="34" spans="1:17" x14ac:dyDescent="0.3">
      <c r="A34">
        <v>4</v>
      </c>
      <c r="B34" s="8" t="s">
        <v>83</v>
      </c>
      <c r="C34" s="9" t="s">
        <v>593</v>
      </c>
      <c r="D34" s="8" t="s">
        <v>554</v>
      </c>
      <c r="E34" s="8">
        <v>110</v>
      </c>
      <c r="F34" s="8">
        <v>70</v>
      </c>
      <c r="G34" s="8">
        <v>30</v>
      </c>
      <c r="H34" s="8">
        <v>28</v>
      </c>
      <c r="I34" s="8">
        <v>400</v>
      </c>
      <c r="J34" s="8">
        <v>30</v>
      </c>
      <c r="K34" s="8">
        <f t="shared" ref="K34:K65" si="3">ROUND(H34/(H34+100),4)</f>
        <v>0.21879999999999999</v>
      </c>
      <c r="L34" s="8">
        <f t="shared" ref="L34:L65" si="4">ROUND(I34*(H34+100)/100,2)</f>
        <v>512</v>
      </c>
      <c r="M34" s="8">
        <f t="shared" ref="M34:M65" si="5">ROUND(L34*G34,2)</f>
        <v>15360</v>
      </c>
    </row>
    <row r="35" spans="1:17" x14ac:dyDescent="0.3">
      <c r="A35">
        <v>4</v>
      </c>
      <c r="B35" s="8" t="s">
        <v>85</v>
      </c>
      <c r="C35" s="9" t="s">
        <v>594</v>
      </c>
      <c r="D35" s="8" t="s">
        <v>554</v>
      </c>
      <c r="E35" s="8">
        <v>115</v>
      </c>
      <c r="F35" s="8">
        <v>75</v>
      </c>
      <c r="G35" s="8">
        <v>25</v>
      </c>
      <c r="H35" s="8">
        <v>40</v>
      </c>
      <c r="I35" s="8">
        <v>450</v>
      </c>
      <c r="J35" s="8">
        <v>20</v>
      </c>
      <c r="K35" s="8">
        <f t="shared" si="3"/>
        <v>0.28570000000000001</v>
      </c>
      <c r="L35" s="8">
        <f t="shared" si="4"/>
        <v>630</v>
      </c>
      <c r="M35" s="8">
        <f t="shared" si="5"/>
        <v>15750</v>
      </c>
    </row>
    <row r="36" spans="1:17" x14ac:dyDescent="0.3">
      <c r="A36">
        <v>4</v>
      </c>
      <c r="B36" s="8" t="s">
        <v>87</v>
      </c>
      <c r="C36" s="9" t="s">
        <v>595</v>
      </c>
      <c r="D36" s="8" t="s">
        <v>554</v>
      </c>
      <c r="E36" s="8">
        <v>125</v>
      </c>
      <c r="F36" s="8">
        <v>90</v>
      </c>
      <c r="G36" s="8">
        <v>70</v>
      </c>
      <c r="H36" s="8">
        <v>15</v>
      </c>
      <c r="I36" s="8">
        <v>250</v>
      </c>
      <c r="J36" s="8">
        <v>15</v>
      </c>
      <c r="K36" s="8">
        <f t="shared" si="3"/>
        <v>0.13039999999999999</v>
      </c>
      <c r="L36" s="8">
        <f t="shared" si="4"/>
        <v>287.5</v>
      </c>
      <c r="M36" s="8">
        <f t="shared" si="5"/>
        <v>20125</v>
      </c>
    </row>
    <row r="37" spans="1:17" x14ac:dyDescent="0.3">
      <c r="A37">
        <v>4</v>
      </c>
      <c r="B37" s="8" t="s">
        <v>89</v>
      </c>
      <c r="C37" s="9" t="s">
        <v>596</v>
      </c>
      <c r="D37" s="8" t="s">
        <v>554</v>
      </c>
      <c r="E37" s="8">
        <v>120</v>
      </c>
      <c r="F37" s="8">
        <v>85</v>
      </c>
      <c r="G37" s="8">
        <v>55</v>
      </c>
      <c r="H37" s="8">
        <v>25</v>
      </c>
      <c r="I37" s="8">
        <v>280</v>
      </c>
      <c r="J37" s="8">
        <v>20</v>
      </c>
      <c r="K37" s="8">
        <f t="shared" si="3"/>
        <v>0.2</v>
      </c>
      <c r="L37" s="8">
        <f t="shared" si="4"/>
        <v>350</v>
      </c>
      <c r="M37" s="8">
        <f t="shared" si="5"/>
        <v>19250</v>
      </c>
    </row>
    <row r="38" spans="1:17" x14ac:dyDescent="0.3">
      <c r="A38">
        <v>4</v>
      </c>
      <c r="B38" s="8" t="s">
        <v>91</v>
      </c>
      <c r="C38" s="9" t="s">
        <v>597</v>
      </c>
      <c r="D38" s="8" t="s">
        <v>554</v>
      </c>
      <c r="E38" s="8">
        <v>115</v>
      </c>
      <c r="F38" s="8">
        <v>85</v>
      </c>
      <c r="G38" s="8">
        <v>50</v>
      </c>
      <c r="H38" s="8">
        <v>30</v>
      </c>
      <c r="I38" s="8">
        <v>300</v>
      </c>
      <c r="J38" s="8">
        <v>25</v>
      </c>
      <c r="K38" s="8">
        <f t="shared" si="3"/>
        <v>0.23080000000000001</v>
      </c>
      <c r="L38" s="8">
        <f t="shared" si="4"/>
        <v>390</v>
      </c>
      <c r="M38" s="8">
        <f t="shared" si="5"/>
        <v>19500</v>
      </c>
      <c r="N38" t="s">
        <v>75</v>
      </c>
      <c r="O38" t="s">
        <v>90</v>
      </c>
      <c r="P38" t="s">
        <v>96</v>
      </c>
    </row>
    <row r="39" spans="1:17" x14ac:dyDescent="0.3">
      <c r="A39">
        <v>4</v>
      </c>
      <c r="B39" s="8" t="s">
        <v>93</v>
      </c>
      <c r="C39" s="10" t="s">
        <v>598</v>
      </c>
      <c r="D39" s="8" t="s">
        <v>561</v>
      </c>
      <c r="E39" s="8">
        <v>175</v>
      </c>
      <c r="F39" s="8">
        <v>160</v>
      </c>
      <c r="G39" s="8">
        <v>70</v>
      </c>
      <c r="H39" s="8">
        <v>30</v>
      </c>
      <c r="I39" s="8">
        <v>500</v>
      </c>
      <c r="J39" s="8">
        <v>50</v>
      </c>
      <c r="K39" s="8">
        <f t="shared" si="3"/>
        <v>0.23080000000000001</v>
      </c>
      <c r="L39" s="8">
        <f t="shared" si="4"/>
        <v>650</v>
      </c>
      <c r="M39" s="8">
        <f t="shared" si="5"/>
        <v>45500</v>
      </c>
      <c r="N39" t="s">
        <v>67</v>
      </c>
      <c r="O39" s="3" t="s">
        <v>69</v>
      </c>
      <c r="P39" t="s">
        <v>75</v>
      </c>
      <c r="Q39" t="s">
        <v>80</v>
      </c>
    </row>
    <row r="40" spans="1:17" x14ac:dyDescent="0.3">
      <c r="A40">
        <v>4</v>
      </c>
      <c r="B40" s="8" t="s">
        <v>95</v>
      </c>
      <c r="C40" s="11" t="s">
        <v>599</v>
      </c>
      <c r="D40" s="8" t="s">
        <v>565</v>
      </c>
      <c r="E40" s="8">
        <v>300</v>
      </c>
      <c r="F40" s="8">
        <v>250</v>
      </c>
      <c r="G40" s="8">
        <v>120</v>
      </c>
      <c r="H40" s="8">
        <v>30</v>
      </c>
      <c r="I40" s="8">
        <v>700</v>
      </c>
      <c r="J40" s="8">
        <v>40</v>
      </c>
      <c r="K40" s="8">
        <f t="shared" si="3"/>
        <v>0.23080000000000001</v>
      </c>
      <c r="L40" s="8">
        <f t="shared" si="4"/>
        <v>910</v>
      </c>
      <c r="M40" s="8">
        <f t="shared" si="5"/>
        <v>109200</v>
      </c>
      <c r="N40" t="s">
        <v>90</v>
      </c>
      <c r="O40" s="3" t="s">
        <v>71</v>
      </c>
      <c r="P40" t="s">
        <v>96</v>
      </c>
    </row>
    <row r="41" spans="1:17" x14ac:dyDescent="0.3">
      <c r="A41">
        <v>4</v>
      </c>
      <c r="B41" s="8" t="s">
        <v>97</v>
      </c>
      <c r="C41" s="11" t="s">
        <v>600</v>
      </c>
      <c r="D41" s="8" t="s">
        <v>565</v>
      </c>
      <c r="E41" s="8">
        <v>300</v>
      </c>
      <c r="F41" s="8">
        <v>250</v>
      </c>
      <c r="G41" s="8">
        <v>80</v>
      </c>
      <c r="H41" s="8">
        <v>50</v>
      </c>
      <c r="I41" s="8">
        <v>850</v>
      </c>
      <c r="J41" s="8">
        <v>30</v>
      </c>
      <c r="K41" s="8">
        <f t="shared" si="3"/>
        <v>0.33329999999999999</v>
      </c>
      <c r="L41" s="8">
        <f t="shared" si="4"/>
        <v>1275</v>
      </c>
      <c r="M41" s="8">
        <f t="shared" si="5"/>
        <v>102000</v>
      </c>
      <c r="N41" t="s">
        <v>92</v>
      </c>
      <c r="O41" s="3" t="s">
        <v>73</v>
      </c>
      <c r="P41" s="3" t="s">
        <v>98</v>
      </c>
    </row>
    <row r="42" spans="1:17" x14ac:dyDescent="0.3">
      <c r="A42">
        <v>4</v>
      </c>
      <c r="B42" s="8" t="s">
        <v>99</v>
      </c>
      <c r="C42" s="11" t="s">
        <v>601</v>
      </c>
      <c r="D42" s="8" t="s">
        <v>565</v>
      </c>
      <c r="E42" s="8">
        <v>7500</v>
      </c>
      <c r="F42" s="8">
        <v>7500</v>
      </c>
      <c r="G42" s="8">
        <v>200</v>
      </c>
      <c r="H42" s="8">
        <v>100</v>
      </c>
      <c r="I42" s="8">
        <v>1500</v>
      </c>
      <c r="J42" s="8">
        <v>80</v>
      </c>
      <c r="K42" s="8">
        <f t="shared" si="3"/>
        <v>0.5</v>
      </c>
      <c r="L42" s="8">
        <f t="shared" si="4"/>
        <v>3000</v>
      </c>
      <c r="M42" s="8">
        <f t="shared" si="5"/>
        <v>600000</v>
      </c>
      <c r="N42" s="3" t="s">
        <v>77</v>
      </c>
    </row>
    <row r="43" spans="1:17" x14ac:dyDescent="0.3">
      <c r="A43" t="s">
        <v>602</v>
      </c>
      <c r="B43" s="8" t="s">
        <v>101</v>
      </c>
      <c r="C43" s="9" t="s">
        <v>603</v>
      </c>
      <c r="D43" s="8" t="s">
        <v>554</v>
      </c>
      <c r="E43" s="8">
        <v>105</v>
      </c>
      <c r="F43" s="8">
        <v>125</v>
      </c>
      <c r="G43" s="8">
        <v>60</v>
      </c>
      <c r="H43" s="8">
        <v>50</v>
      </c>
      <c r="I43" s="8">
        <v>450</v>
      </c>
      <c r="J43" s="8">
        <v>18</v>
      </c>
      <c r="K43" s="8">
        <f t="shared" si="3"/>
        <v>0.33329999999999999</v>
      </c>
      <c r="L43" s="8">
        <f t="shared" si="4"/>
        <v>675</v>
      </c>
      <c r="M43" s="8">
        <f t="shared" si="5"/>
        <v>40500</v>
      </c>
    </row>
    <row r="44" spans="1:17" x14ac:dyDescent="0.3">
      <c r="A44">
        <v>5</v>
      </c>
      <c r="B44" s="8" t="s">
        <v>103</v>
      </c>
      <c r="C44" s="9" t="s">
        <v>604</v>
      </c>
      <c r="D44" s="8" t="s">
        <v>554</v>
      </c>
      <c r="E44" s="8">
        <v>130</v>
      </c>
      <c r="F44" s="8">
        <v>115</v>
      </c>
      <c r="G44" s="8">
        <v>40</v>
      </c>
      <c r="H44" s="8">
        <v>65</v>
      </c>
      <c r="I44" s="8">
        <v>550</v>
      </c>
      <c r="J44" s="8">
        <v>10</v>
      </c>
      <c r="K44" s="8">
        <f t="shared" si="3"/>
        <v>0.39389999999999997</v>
      </c>
      <c r="L44" s="8">
        <f t="shared" si="4"/>
        <v>907.5</v>
      </c>
      <c r="M44" s="8">
        <f t="shared" si="5"/>
        <v>36300</v>
      </c>
    </row>
    <row r="45" spans="1:17" x14ac:dyDescent="0.3">
      <c r="A45">
        <v>5</v>
      </c>
      <c r="B45" s="8" t="s">
        <v>105</v>
      </c>
      <c r="C45" s="9" t="s">
        <v>605</v>
      </c>
      <c r="D45" s="8" t="s">
        <v>554</v>
      </c>
      <c r="E45" s="8">
        <v>120</v>
      </c>
      <c r="F45" s="8">
        <v>170</v>
      </c>
      <c r="G45" s="8">
        <v>80</v>
      </c>
      <c r="H45" s="8">
        <v>40</v>
      </c>
      <c r="I45" s="8">
        <v>400</v>
      </c>
      <c r="J45" s="8">
        <v>35</v>
      </c>
      <c r="K45" s="8">
        <f t="shared" si="3"/>
        <v>0.28570000000000001</v>
      </c>
      <c r="L45" s="8">
        <f t="shared" si="4"/>
        <v>560</v>
      </c>
      <c r="M45" s="8">
        <f t="shared" si="5"/>
        <v>44800</v>
      </c>
    </row>
    <row r="46" spans="1:17" x14ac:dyDescent="0.3">
      <c r="A46">
        <v>5</v>
      </c>
      <c r="B46" s="8" t="s">
        <v>107</v>
      </c>
      <c r="C46" s="9" t="s">
        <v>606</v>
      </c>
      <c r="D46" s="8" t="s">
        <v>554</v>
      </c>
      <c r="E46" s="8">
        <v>125</v>
      </c>
      <c r="F46" s="8">
        <v>140</v>
      </c>
      <c r="G46" s="8">
        <v>70</v>
      </c>
      <c r="H46" s="8">
        <v>45</v>
      </c>
      <c r="I46" s="8">
        <v>470</v>
      </c>
      <c r="J46" s="8">
        <v>15</v>
      </c>
      <c r="K46" s="8">
        <f t="shared" si="3"/>
        <v>0.31030000000000002</v>
      </c>
      <c r="L46" s="8">
        <f t="shared" si="4"/>
        <v>681.5</v>
      </c>
      <c r="M46" s="8">
        <f t="shared" si="5"/>
        <v>47705</v>
      </c>
    </row>
    <row r="47" spans="1:17" x14ac:dyDescent="0.3">
      <c r="A47">
        <v>5</v>
      </c>
      <c r="B47" s="8" t="s">
        <v>109</v>
      </c>
      <c r="C47" s="9" t="s">
        <v>607</v>
      </c>
      <c r="D47" s="8" t="s">
        <v>554</v>
      </c>
      <c r="E47" s="8">
        <v>140</v>
      </c>
      <c r="F47" s="8">
        <v>140</v>
      </c>
      <c r="G47" s="8">
        <v>200</v>
      </c>
      <c r="H47" s="8">
        <v>40</v>
      </c>
      <c r="I47" s="8">
        <v>520</v>
      </c>
      <c r="J47" s="8">
        <v>20</v>
      </c>
      <c r="K47" s="8">
        <f t="shared" si="3"/>
        <v>0.28570000000000001</v>
      </c>
      <c r="L47" s="8">
        <f t="shared" si="4"/>
        <v>728</v>
      </c>
      <c r="M47" s="8">
        <f t="shared" si="5"/>
        <v>145600</v>
      </c>
    </row>
    <row r="48" spans="1:17" x14ac:dyDescent="0.3">
      <c r="A48">
        <v>5</v>
      </c>
      <c r="B48" s="8" t="s">
        <v>111</v>
      </c>
      <c r="C48" s="9" t="s">
        <v>608</v>
      </c>
      <c r="D48" s="8" t="s">
        <v>554</v>
      </c>
      <c r="E48" s="8">
        <v>135</v>
      </c>
      <c r="F48" s="8">
        <v>135</v>
      </c>
      <c r="G48" s="8">
        <v>120</v>
      </c>
      <c r="H48" s="8">
        <v>35</v>
      </c>
      <c r="I48" s="8">
        <v>380</v>
      </c>
      <c r="J48" s="8">
        <v>35</v>
      </c>
      <c r="K48" s="8">
        <f t="shared" si="3"/>
        <v>0.25929999999999997</v>
      </c>
      <c r="L48" s="8">
        <f t="shared" si="4"/>
        <v>513</v>
      </c>
      <c r="M48" s="8">
        <f t="shared" si="5"/>
        <v>61560</v>
      </c>
    </row>
    <row r="49" spans="1:19" x14ac:dyDescent="0.3">
      <c r="A49">
        <v>5</v>
      </c>
      <c r="B49" s="8" t="s">
        <v>114</v>
      </c>
      <c r="C49" s="9" t="s">
        <v>609</v>
      </c>
      <c r="D49" s="8" t="s">
        <v>554</v>
      </c>
      <c r="E49" s="8">
        <v>125</v>
      </c>
      <c r="F49" s="8">
        <v>145</v>
      </c>
      <c r="G49" s="8">
        <v>85</v>
      </c>
      <c r="H49" s="8">
        <v>50</v>
      </c>
      <c r="I49" s="8">
        <v>500</v>
      </c>
      <c r="J49" s="8">
        <v>30</v>
      </c>
      <c r="K49" s="8">
        <f t="shared" si="3"/>
        <v>0.33329999999999999</v>
      </c>
      <c r="L49" s="8">
        <f t="shared" si="4"/>
        <v>750</v>
      </c>
      <c r="M49" s="8">
        <f t="shared" si="5"/>
        <v>63750</v>
      </c>
    </row>
    <row r="50" spans="1:19" x14ac:dyDescent="0.3">
      <c r="A50">
        <v>5</v>
      </c>
      <c r="B50" s="8" t="s">
        <v>117</v>
      </c>
      <c r="C50" s="10" t="s">
        <v>610</v>
      </c>
      <c r="D50" s="8" t="s">
        <v>561</v>
      </c>
      <c r="E50" s="8">
        <v>220</v>
      </c>
      <c r="F50" s="8">
        <v>280</v>
      </c>
      <c r="G50" s="8">
        <v>120</v>
      </c>
      <c r="H50" s="8">
        <v>55</v>
      </c>
      <c r="I50" s="8">
        <v>650</v>
      </c>
      <c r="J50" s="8">
        <v>40</v>
      </c>
      <c r="K50" s="8">
        <f t="shared" si="3"/>
        <v>0.3548</v>
      </c>
      <c r="L50" s="8">
        <f t="shared" si="4"/>
        <v>1007.5</v>
      </c>
      <c r="M50" s="8">
        <f t="shared" si="5"/>
        <v>120900</v>
      </c>
      <c r="N50" t="s">
        <v>611</v>
      </c>
      <c r="O50" t="s">
        <v>110</v>
      </c>
      <c r="P50" t="s">
        <v>250</v>
      </c>
    </row>
    <row r="51" spans="1:19" x14ac:dyDescent="0.3">
      <c r="A51">
        <v>5</v>
      </c>
      <c r="B51" s="8" t="s">
        <v>120</v>
      </c>
      <c r="C51" s="11" t="s">
        <v>612</v>
      </c>
      <c r="D51" s="8" t="s">
        <v>565</v>
      </c>
      <c r="E51" s="8">
        <v>300</v>
      </c>
      <c r="F51" s="8">
        <v>450</v>
      </c>
      <c r="G51" s="8">
        <v>110</v>
      </c>
      <c r="H51" s="8">
        <v>125</v>
      </c>
      <c r="I51" s="8">
        <v>1200</v>
      </c>
      <c r="J51" s="8">
        <v>30</v>
      </c>
      <c r="K51" s="8">
        <f t="shared" si="3"/>
        <v>0.55559999999999998</v>
      </c>
      <c r="L51" s="8">
        <f t="shared" si="4"/>
        <v>2700</v>
      </c>
      <c r="M51" s="8">
        <f t="shared" si="5"/>
        <v>297000</v>
      </c>
      <c r="N51" t="s">
        <v>123</v>
      </c>
      <c r="O51" s="5" t="s">
        <v>112</v>
      </c>
      <c r="P51" s="5" t="s">
        <v>160</v>
      </c>
      <c r="Q51" t="s">
        <v>351</v>
      </c>
      <c r="R51" t="s">
        <v>353</v>
      </c>
      <c r="S51" s="3" t="s">
        <v>356</v>
      </c>
    </row>
    <row r="52" spans="1:19" x14ac:dyDescent="0.3">
      <c r="A52">
        <v>5</v>
      </c>
      <c r="B52" s="8" t="s">
        <v>122</v>
      </c>
      <c r="C52" s="11" t="s">
        <v>613</v>
      </c>
      <c r="D52" s="8" t="s">
        <v>565</v>
      </c>
      <c r="E52" s="8">
        <v>400</v>
      </c>
      <c r="F52" s="8">
        <v>480</v>
      </c>
      <c r="G52" s="8">
        <v>170</v>
      </c>
      <c r="H52" s="8">
        <v>80</v>
      </c>
      <c r="I52" s="8">
        <v>900</v>
      </c>
      <c r="J52" s="8">
        <v>50</v>
      </c>
      <c r="K52" s="8">
        <f t="shared" si="3"/>
        <v>0.44440000000000002</v>
      </c>
      <c r="L52" s="8">
        <f t="shared" si="4"/>
        <v>1620</v>
      </c>
      <c r="M52" s="8">
        <f t="shared" si="5"/>
        <v>275400</v>
      </c>
      <c r="N52" s="3" t="s">
        <v>115</v>
      </c>
      <c r="O52" s="3" t="s">
        <v>121</v>
      </c>
      <c r="P52" t="s">
        <v>358</v>
      </c>
      <c r="Q52" s="3" t="s">
        <v>361</v>
      </c>
      <c r="R52" s="3" t="s">
        <v>364</v>
      </c>
    </row>
    <row r="53" spans="1:19" x14ac:dyDescent="0.3">
      <c r="A53">
        <v>5</v>
      </c>
      <c r="B53" s="8" t="s">
        <v>124</v>
      </c>
      <c r="C53" s="11" t="s">
        <v>614</v>
      </c>
      <c r="D53" s="8" t="s">
        <v>565</v>
      </c>
      <c r="E53" s="8">
        <v>10000</v>
      </c>
      <c r="F53" s="8">
        <v>10000</v>
      </c>
      <c r="G53" s="8">
        <v>400</v>
      </c>
      <c r="H53" s="8">
        <v>200</v>
      </c>
      <c r="I53" s="8">
        <v>1800</v>
      </c>
      <c r="J53" s="8">
        <v>0</v>
      </c>
      <c r="K53" s="8">
        <f t="shared" si="3"/>
        <v>0.66669999999999996</v>
      </c>
      <c r="L53" s="8">
        <f t="shared" si="4"/>
        <v>5400</v>
      </c>
      <c r="M53" s="8">
        <f t="shared" si="5"/>
        <v>2160000</v>
      </c>
      <c r="N53" t="s">
        <v>118</v>
      </c>
    </row>
    <row r="54" spans="1:19" x14ac:dyDescent="0.3">
      <c r="A54">
        <v>5</v>
      </c>
      <c r="B54" s="8" t="s">
        <v>126</v>
      </c>
      <c r="C54" s="10" t="s">
        <v>615</v>
      </c>
      <c r="D54" s="8" t="s">
        <v>561</v>
      </c>
      <c r="E54" s="8">
        <v>250</v>
      </c>
      <c r="F54" s="8">
        <v>260</v>
      </c>
      <c r="G54" s="8">
        <v>300</v>
      </c>
      <c r="H54" s="8">
        <v>30</v>
      </c>
      <c r="I54" s="8">
        <v>400</v>
      </c>
      <c r="J54" s="8">
        <v>30</v>
      </c>
      <c r="K54" s="8">
        <f t="shared" si="3"/>
        <v>0.23080000000000001</v>
      </c>
      <c r="L54" s="8">
        <f t="shared" si="4"/>
        <v>520</v>
      </c>
      <c r="M54" s="8">
        <f t="shared" si="5"/>
        <v>156000</v>
      </c>
      <c r="N54" t="s">
        <v>125</v>
      </c>
      <c r="O54" s="3" t="s">
        <v>127</v>
      </c>
    </row>
    <row r="55" spans="1:19" x14ac:dyDescent="0.3">
      <c r="A55" t="s">
        <v>616</v>
      </c>
      <c r="B55" s="8" t="s">
        <v>128</v>
      </c>
      <c r="C55" s="9" t="s">
        <v>617</v>
      </c>
      <c r="D55" s="8" t="s">
        <v>554</v>
      </c>
      <c r="E55" s="8">
        <v>160</v>
      </c>
      <c r="F55" s="8">
        <v>180</v>
      </c>
      <c r="G55" s="8">
        <v>130</v>
      </c>
      <c r="H55" s="8">
        <v>85</v>
      </c>
      <c r="I55" s="8">
        <v>700</v>
      </c>
      <c r="J55" s="8">
        <v>50</v>
      </c>
      <c r="K55" s="8">
        <f t="shared" si="3"/>
        <v>0.45950000000000002</v>
      </c>
      <c r="L55" s="8">
        <f t="shared" si="4"/>
        <v>1295</v>
      </c>
      <c r="M55" s="8">
        <f t="shared" si="5"/>
        <v>168350</v>
      </c>
    </row>
    <row r="56" spans="1:19" x14ac:dyDescent="0.3">
      <c r="A56">
        <v>6</v>
      </c>
      <c r="B56" s="8" t="s">
        <v>130</v>
      </c>
      <c r="C56" s="9" t="s">
        <v>618</v>
      </c>
      <c r="D56" s="8" t="s">
        <v>554</v>
      </c>
      <c r="E56" s="8">
        <v>160</v>
      </c>
      <c r="F56" s="8">
        <v>180</v>
      </c>
      <c r="G56" s="8">
        <v>140</v>
      </c>
      <c r="H56" s="8">
        <v>45</v>
      </c>
      <c r="I56" s="8">
        <v>600</v>
      </c>
      <c r="J56" s="8">
        <v>70</v>
      </c>
      <c r="K56" s="8">
        <f t="shared" si="3"/>
        <v>0.31030000000000002</v>
      </c>
      <c r="L56" s="8">
        <f t="shared" si="4"/>
        <v>870</v>
      </c>
      <c r="M56" s="8">
        <f t="shared" si="5"/>
        <v>121800</v>
      </c>
    </row>
    <row r="57" spans="1:19" x14ac:dyDescent="0.3">
      <c r="A57">
        <v>6</v>
      </c>
      <c r="B57" s="8" t="s">
        <v>132</v>
      </c>
      <c r="C57" s="9" t="s">
        <v>619</v>
      </c>
      <c r="D57" s="8" t="s">
        <v>554</v>
      </c>
      <c r="E57" s="8">
        <v>145</v>
      </c>
      <c r="F57" s="8">
        <v>170</v>
      </c>
      <c r="G57" s="8">
        <v>100</v>
      </c>
      <c r="H57" s="8">
        <v>70</v>
      </c>
      <c r="I57" s="8">
        <v>780</v>
      </c>
      <c r="J57" s="8">
        <v>50</v>
      </c>
      <c r="K57" s="8">
        <f t="shared" si="3"/>
        <v>0.4118</v>
      </c>
      <c r="L57" s="8">
        <f t="shared" si="4"/>
        <v>1326</v>
      </c>
      <c r="M57" s="8">
        <f t="shared" si="5"/>
        <v>132600</v>
      </c>
      <c r="N57" s="5" t="s">
        <v>162</v>
      </c>
    </row>
    <row r="58" spans="1:19" x14ac:dyDescent="0.3">
      <c r="A58">
        <v>6</v>
      </c>
      <c r="B58" s="8" t="s">
        <v>134</v>
      </c>
      <c r="C58" s="9" t="s">
        <v>620</v>
      </c>
      <c r="D58" s="8" t="s">
        <v>554</v>
      </c>
      <c r="E58" s="8">
        <v>155</v>
      </c>
      <c r="F58" s="8">
        <v>170</v>
      </c>
      <c r="G58" s="8">
        <v>85</v>
      </c>
      <c r="H58" s="8">
        <v>70</v>
      </c>
      <c r="I58" s="8">
        <v>760</v>
      </c>
      <c r="J58" s="8">
        <v>40</v>
      </c>
      <c r="K58" s="8">
        <f t="shared" si="3"/>
        <v>0.4118</v>
      </c>
      <c r="L58" s="8">
        <f t="shared" si="4"/>
        <v>1292</v>
      </c>
      <c r="M58" s="8">
        <f t="shared" si="5"/>
        <v>109820</v>
      </c>
    </row>
    <row r="59" spans="1:19" x14ac:dyDescent="0.3">
      <c r="A59">
        <v>6</v>
      </c>
      <c r="B59" s="8" t="s">
        <v>136</v>
      </c>
      <c r="C59" s="9" t="s">
        <v>621</v>
      </c>
      <c r="D59" s="8" t="s">
        <v>554</v>
      </c>
      <c r="E59" s="8">
        <v>175</v>
      </c>
      <c r="F59" s="8">
        <v>180</v>
      </c>
      <c r="G59" s="8">
        <v>130</v>
      </c>
      <c r="H59" s="8">
        <v>70</v>
      </c>
      <c r="I59" s="8">
        <v>660</v>
      </c>
      <c r="J59" s="8">
        <v>75</v>
      </c>
      <c r="K59" s="8">
        <f t="shared" si="3"/>
        <v>0.4118</v>
      </c>
      <c r="L59" s="8">
        <f t="shared" si="4"/>
        <v>1122</v>
      </c>
      <c r="M59" s="8">
        <f t="shared" si="5"/>
        <v>145860</v>
      </c>
    </row>
    <row r="60" spans="1:19" x14ac:dyDescent="0.3">
      <c r="A60">
        <v>6</v>
      </c>
      <c r="B60" s="8" t="s">
        <v>139</v>
      </c>
      <c r="C60" s="9" t="s">
        <v>622</v>
      </c>
      <c r="D60" s="8" t="s">
        <v>554</v>
      </c>
      <c r="E60" s="8">
        <v>160</v>
      </c>
      <c r="F60" s="8">
        <v>180</v>
      </c>
      <c r="G60" s="8">
        <v>135</v>
      </c>
      <c r="H60" s="8">
        <v>50</v>
      </c>
      <c r="I60" s="8">
        <v>630</v>
      </c>
      <c r="J60" s="8">
        <v>20</v>
      </c>
      <c r="K60" s="8">
        <f t="shared" si="3"/>
        <v>0.33329999999999999</v>
      </c>
      <c r="L60" s="8">
        <f t="shared" si="4"/>
        <v>945</v>
      </c>
      <c r="M60" s="8">
        <f t="shared" si="5"/>
        <v>127575</v>
      </c>
    </row>
    <row r="61" spans="1:19" x14ac:dyDescent="0.3">
      <c r="A61">
        <v>6</v>
      </c>
      <c r="B61" s="8" t="s">
        <v>141</v>
      </c>
      <c r="C61" s="9" t="s">
        <v>623</v>
      </c>
      <c r="D61" s="8" t="s">
        <v>554</v>
      </c>
      <c r="E61" s="8">
        <v>140</v>
      </c>
      <c r="F61" s="8">
        <v>170</v>
      </c>
      <c r="G61" s="8">
        <v>230</v>
      </c>
      <c r="H61" s="8">
        <v>30</v>
      </c>
      <c r="I61" s="8">
        <v>400</v>
      </c>
      <c r="J61" s="8">
        <v>60</v>
      </c>
      <c r="K61" s="8">
        <f t="shared" si="3"/>
        <v>0.23080000000000001</v>
      </c>
      <c r="L61" s="8">
        <f t="shared" si="4"/>
        <v>520</v>
      </c>
      <c r="M61" s="8">
        <f t="shared" si="5"/>
        <v>119600</v>
      </c>
    </row>
    <row r="62" spans="1:19" x14ac:dyDescent="0.3">
      <c r="A62">
        <v>6</v>
      </c>
      <c r="B62" s="8" t="s">
        <v>144</v>
      </c>
      <c r="C62" s="10" t="s">
        <v>624</v>
      </c>
      <c r="D62" s="8" t="s">
        <v>561</v>
      </c>
      <c r="E62" s="8">
        <v>260</v>
      </c>
      <c r="F62" s="8">
        <v>400</v>
      </c>
      <c r="G62" s="8">
        <v>200</v>
      </c>
      <c r="H62" s="8">
        <v>80</v>
      </c>
      <c r="I62" s="8">
        <v>1200</v>
      </c>
      <c r="J62" s="8">
        <v>40</v>
      </c>
      <c r="K62" s="8">
        <f t="shared" si="3"/>
        <v>0.44440000000000002</v>
      </c>
      <c r="L62" s="8">
        <f t="shared" si="4"/>
        <v>2160</v>
      </c>
      <c r="M62" s="8">
        <f t="shared" si="5"/>
        <v>432000</v>
      </c>
      <c r="N62" t="s">
        <v>135</v>
      </c>
    </row>
    <row r="63" spans="1:19" x14ac:dyDescent="0.3">
      <c r="A63">
        <v>6</v>
      </c>
      <c r="B63" s="8" t="s">
        <v>146</v>
      </c>
      <c r="C63" s="10" t="s">
        <v>625</v>
      </c>
      <c r="D63" s="8" t="s">
        <v>561</v>
      </c>
      <c r="E63" s="8">
        <v>100</v>
      </c>
      <c r="F63" s="8">
        <v>300</v>
      </c>
      <c r="G63" s="8">
        <v>500</v>
      </c>
      <c r="H63" s="8">
        <v>0</v>
      </c>
      <c r="I63" s="8">
        <v>300</v>
      </c>
      <c r="J63" s="8">
        <v>130</v>
      </c>
      <c r="K63" s="8">
        <f t="shared" si="3"/>
        <v>0</v>
      </c>
      <c r="L63" s="8">
        <f t="shared" si="4"/>
        <v>300</v>
      </c>
      <c r="M63" s="8">
        <f t="shared" si="5"/>
        <v>150000</v>
      </c>
      <c r="N63" t="s">
        <v>145</v>
      </c>
    </row>
    <row r="64" spans="1:19" x14ac:dyDescent="0.3">
      <c r="A64">
        <v>6</v>
      </c>
      <c r="B64" s="8" t="s">
        <v>148</v>
      </c>
      <c r="C64" s="11" t="s">
        <v>626</v>
      </c>
      <c r="D64" s="8" t="s">
        <v>565</v>
      </c>
      <c r="E64" s="8">
        <v>500</v>
      </c>
      <c r="F64" s="8">
        <v>800</v>
      </c>
      <c r="G64" s="8">
        <v>260</v>
      </c>
      <c r="H64" s="8">
        <v>170</v>
      </c>
      <c r="I64" s="8">
        <v>1500</v>
      </c>
      <c r="J64" s="8">
        <v>80</v>
      </c>
      <c r="K64" s="8">
        <f t="shared" si="3"/>
        <v>0.62960000000000005</v>
      </c>
      <c r="L64" s="8">
        <f t="shared" si="4"/>
        <v>4050</v>
      </c>
      <c r="M64" s="8">
        <f t="shared" si="5"/>
        <v>1053000</v>
      </c>
      <c r="N64" t="s">
        <v>142</v>
      </c>
      <c r="O64" t="s">
        <v>156</v>
      </c>
      <c r="P64" s="3" t="s">
        <v>366</v>
      </c>
      <c r="Q64" s="5" t="s">
        <v>369</v>
      </c>
    </row>
    <row r="65" spans="1:18" x14ac:dyDescent="0.3">
      <c r="A65">
        <v>6</v>
      </c>
      <c r="B65" s="8" t="s">
        <v>151</v>
      </c>
      <c r="C65" s="11" t="s">
        <v>627</v>
      </c>
      <c r="D65" s="8" t="s">
        <v>565</v>
      </c>
      <c r="E65" s="8">
        <v>600</v>
      </c>
      <c r="F65" s="8">
        <v>850</v>
      </c>
      <c r="G65" s="8">
        <v>230</v>
      </c>
      <c r="H65" s="8">
        <v>200</v>
      </c>
      <c r="I65" s="8">
        <v>1800</v>
      </c>
      <c r="J65" s="8">
        <v>90</v>
      </c>
      <c r="K65" s="8">
        <f t="shared" si="3"/>
        <v>0.66669999999999996</v>
      </c>
      <c r="L65" s="8">
        <f t="shared" si="4"/>
        <v>5400</v>
      </c>
      <c r="M65" s="8">
        <f t="shared" si="5"/>
        <v>1242000</v>
      </c>
      <c r="N65" t="s">
        <v>137</v>
      </c>
      <c r="O65" s="3" t="s">
        <v>158</v>
      </c>
      <c r="P65" s="5" t="s">
        <v>372</v>
      </c>
    </row>
    <row r="66" spans="1:18" x14ac:dyDescent="0.3">
      <c r="A66">
        <v>6</v>
      </c>
      <c r="B66" s="8" t="s">
        <v>153</v>
      </c>
      <c r="C66" s="11" t="s">
        <v>628</v>
      </c>
      <c r="D66" s="8" t="s">
        <v>565</v>
      </c>
      <c r="E66" s="8">
        <v>600</v>
      </c>
      <c r="F66" s="8">
        <v>1000</v>
      </c>
      <c r="G66" s="8">
        <v>400</v>
      </c>
      <c r="H66" s="8">
        <v>0</v>
      </c>
      <c r="I66" s="8">
        <v>2000</v>
      </c>
      <c r="J66" s="8">
        <v>200</v>
      </c>
      <c r="K66" s="8">
        <f t="shared" ref="K66:K97" si="6">ROUND(H66/(H66+100),4)</f>
        <v>0</v>
      </c>
      <c r="L66" s="8">
        <f t="shared" ref="L66:L97" si="7">ROUND(I66*(H66+100)/100,2)</f>
        <v>2000</v>
      </c>
      <c r="M66" s="8">
        <f t="shared" ref="M66:M97" si="8">ROUND(L66*G66,2)</f>
        <v>800000</v>
      </c>
      <c r="N66" t="s">
        <v>147</v>
      </c>
      <c r="O66" s="3" t="s">
        <v>154</v>
      </c>
      <c r="P66" s="3" t="s">
        <v>164</v>
      </c>
    </row>
    <row r="67" spans="1:18" x14ac:dyDescent="0.3">
      <c r="A67">
        <v>6</v>
      </c>
      <c r="B67" s="8" t="s">
        <v>155</v>
      </c>
      <c r="C67" s="11" t="s">
        <v>629</v>
      </c>
      <c r="D67" s="8" t="s">
        <v>565</v>
      </c>
      <c r="E67" s="8">
        <v>12500</v>
      </c>
      <c r="F67" s="8">
        <v>12500</v>
      </c>
      <c r="G67" s="8">
        <v>350</v>
      </c>
      <c r="H67" s="8">
        <v>260</v>
      </c>
      <c r="I67" s="8">
        <v>3000</v>
      </c>
      <c r="J67" s="8">
        <v>150</v>
      </c>
      <c r="K67" s="8">
        <f t="shared" si="6"/>
        <v>0.72219999999999995</v>
      </c>
      <c r="L67" s="8">
        <f t="shared" si="7"/>
        <v>10800</v>
      </c>
      <c r="M67" s="8">
        <f t="shared" si="8"/>
        <v>3780000</v>
      </c>
      <c r="N67" t="s">
        <v>149</v>
      </c>
    </row>
    <row r="68" spans="1:18" x14ac:dyDescent="0.3">
      <c r="A68">
        <v>6</v>
      </c>
      <c r="B68" s="8" t="s">
        <v>157</v>
      </c>
      <c r="C68" s="11" t="s">
        <v>630</v>
      </c>
      <c r="D68" s="8" t="s">
        <v>565</v>
      </c>
      <c r="E68" s="8">
        <v>500</v>
      </c>
      <c r="F68" s="8">
        <v>600</v>
      </c>
      <c r="G68" s="8">
        <v>175</v>
      </c>
      <c r="H68" s="8">
        <v>140</v>
      </c>
      <c r="I68" s="8">
        <v>5000</v>
      </c>
      <c r="J68" s="8">
        <v>40</v>
      </c>
      <c r="K68" s="8">
        <f t="shared" si="6"/>
        <v>0.58330000000000004</v>
      </c>
      <c r="L68" s="8">
        <f t="shared" si="7"/>
        <v>12000</v>
      </c>
      <c r="M68" s="8">
        <f t="shared" si="8"/>
        <v>2100000</v>
      </c>
      <c r="N68" t="s">
        <v>168</v>
      </c>
      <c r="O68" t="s">
        <v>171</v>
      </c>
      <c r="P68" t="s">
        <v>375</v>
      </c>
    </row>
    <row r="69" spans="1:18" x14ac:dyDescent="0.3">
      <c r="A69" t="s">
        <v>631</v>
      </c>
      <c r="B69" s="8" t="s">
        <v>159</v>
      </c>
      <c r="C69" s="9" t="s">
        <v>632</v>
      </c>
      <c r="D69" s="8" t="s">
        <v>554</v>
      </c>
      <c r="E69" s="8">
        <v>170</v>
      </c>
      <c r="F69" s="8">
        <v>200</v>
      </c>
      <c r="G69" s="8">
        <v>280</v>
      </c>
      <c r="H69" s="8">
        <v>130</v>
      </c>
      <c r="I69" s="8">
        <v>700</v>
      </c>
      <c r="J69" s="8">
        <v>120</v>
      </c>
      <c r="K69" s="8">
        <f t="shared" si="6"/>
        <v>0.56520000000000004</v>
      </c>
      <c r="L69" s="8">
        <f t="shared" si="7"/>
        <v>1610</v>
      </c>
      <c r="M69" s="8">
        <f t="shared" si="8"/>
        <v>450800</v>
      </c>
    </row>
    <row r="70" spans="1:18" x14ac:dyDescent="0.3">
      <c r="A70">
        <v>7</v>
      </c>
      <c r="B70" s="8" t="s">
        <v>161</v>
      </c>
      <c r="C70" s="9" t="s">
        <v>633</v>
      </c>
      <c r="D70" s="8" t="s">
        <v>554</v>
      </c>
      <c r="E70" s="8">
        <v>170</v>
      </c>
      <c r="F70" s="8">
        <v>200</v>
      </c>
      <c r="G70" s="8">
        <v>260</v>
      </c>
      <c r="H70" s="8">
        <v>125</v>
      </c>
      <c r="I70" s="8">
        <v>750</v>
      </c>
      <c r="J70" s="8">
        <v>125</v>
      </c>
      <c r="K70" s="8">
        <f t="shared" si="6"/>
        <v>0.55559999999999998</v>
      </c>
      <c r="L70" s="8">
        <f t="shared" si="7"/>
        <v>1687.5</v>
      </c>
      <c r="M70" s="8">
        <f t="shared" si="8"/>
        <v>438750</v>
      </c>
      <c r="N70" t="s">
        <v>173</v>
      </c>
    </row>
    <row r="71" spans="1:18" x14ac:dyDescent="0.3">
      <c r="A71">
        <v>7</v>
      </c>
      <c r="B71" s="8" t="s">
        <v>163</v>
      </c>
      <c r="C71" s="9" t="s">
        <v>634</v>
      </c>
      <c r="D71" s="8" t="s">
        <v>554</v>
      </c>
      <c r="E71" s="8">
        <v>165</v>
      </c>
      <c r="F71" s="8">
        <v>190</v>
      </c>
      <c r="G71" s="8">
        <v>300</v>
      </c>
      <c r="H71" s="8">
        <v>110</v>
      </c>
      <c r="I71" s="8">
        <v>650</v>
      </c>
      <c r="J71" s="8">
        <v>160</v>
      </c>
      <c r="K71" s="8">
        <f t="shared" si="6"/>
        <v>0.52380000000000004</v>
      </c>
      <c r="L71" s="8">
        <f t="shared" si="7"/>
        <v>1365</v>
      </c>
      <c r="M71" s="8">
        <f t="shared" si="8"/>
        <v>409500</v>
      </c>
    </row>
    <row r="72" spans="1:18" x14ac:dyDescent="0.3">
      <c r="A72">
        <v>7</v>
      </c>
      <c r="B72" s="8" t="s">
        <v>165</v>
      </c>
      <c r="C72" s="9" t="s">
        <v>635</v>
      </c>
      <c r="D72" s="8" t="s">
        <v>554</v>
      </c>
      <c r="E72" s="8">
        <v>165</v>
      </c>
      <c r="F72" s="8">
        <v>190</v>
      </c>
      <c r="G72" s="8">
        <v>290</v>
      </c>
      <c r="H72" s="8">
        <v>110</v>
      </c>
      <c r="I72" s="8">
        <v>675</v>
      </c>
      <c r="J72" s="8">
        <v>135</v>
      </c>
      <c r="K72" s="8">
        <f t="shared" si="6"/>
        <v>0.52380000000000004</v>
      </c>
      <c r="L72" s="8">
        <f t="shared" si="7"/>
        <v>1417.5</v>
      </c>
      <c r="M72" s="8">
        <f t="shared" si="8"/>
        <v>411075</v>
      </c>
    </row>
    <row r="73" spans="1:18" x14ac:dyDescent="0.3">
      <c r="A73">
        <v>7</v>
      </c>
      <c r="B73" s="8" t="s">
        <v>167</v>
      </c>
      <c r="C73" s="9" t="s">
        <v>636</v>
      </c>
      <c r="D73" s="8" t="s">
        <v>554</v>
      </c>
      <c r="E73" s="8">
        <v>185</v>
      </c>
      <c r="F73" s="8">
        <v>200</v>
      </c>
      <c r="G73" s="8">
        <v>445</v>
      </c>
      <c r="H73" s="8">
        <v>90</v>
      </c>
      <c r="I73" s="8">
        <v>600</v>
      </c>
      <c r="J73" s="8">
        <v>110</v>
      </c>
      <c r="K73" s="8">
        <f t="shared" si="6"/>
        <v>0.47370000000000001</v>
      </c>
      <c r="L73" s="8">
        <f t="shared" si="7"/>
        <v>1140</v>
      </c>
      <c r="M73" s="8">
        <f t="shared" si="8"/>
        <v>507300</v>
      </c>
      <c r="N73" t="s">
        <v>173</v>
      </c>
    </row>
    <row r="74" spans="1:18" x14ac:dyDescent="0.3">
      <c r="A74">
        <v>7</v>
      </c>
      <c r="B74" s="8" t="s">
        <v>170</v>
      </c>
      <c r="C74" s="9" t="s">
        <v>637</v>
      </c>
      <c r="D74" s="8" t="s">
        <v>554</v>
      </c>
      <c r="E74" s="8">
        <v>170</v>
      </c>
      <c r="F74" s="8">
        <v>200</v>
      </c>
      <c r="G74" s="8">
        <v>220</v>
      </c>
      <c r="H74" s="8">
        <v>185</v>
      </c>
      <c r="I74" s="8">
        <v>900</v>
      </c>
      <c r="J74" s="8">
        <v>80</v>
      </c>
      <c r="K74" s="8">
        <f t="shared" si="6"/>
        <v>0.64910000000000001</v>
      </c>
      <c r="L74" s="8">
        <f t="shared" si="7"/>
        <v>2565</v>
      </c>
      <c r="M74" s="8">
        <f t="shared" si="8"/>
        <v>564300</v>
      </c>
    </row>
    <row r="75" spans="1:18" x14ac:dyDescent="0.3">
      <c r="A75">
        <v>7</v>
      </c>
      <c r="B75" s="8" t="s">
        <v>172</v>
      </c>
      <c r="C75" s="9" t="s">
        <v>638</v>
      </c>
      <c r="D75" s="8" t="s">
        <v>554</v>
      </c>
      <c r="E75" s="8">
        <v>150</v>
      </c>
      <c r="F75" s="8">
        <v>190</v>
      </c>
      <c r="G75" s="8">
        <v>260</v>
      </c>
      <c r="H75" s="8">
        <v>155</v>
      </c>
      <c r="I75" s="8">
        <v>800</v>
      </c>
      <c r="J75" s="8">
        <v>100</v>
      </c>
      <c r="K75" s="8">
        <f t="shared" si="6"/>
        <v>0.60780000000000001</v>
      </c>
      <c r="L75" s="8">
        <f t="shared" si="7"/>
        <v>2040</v>
      </c>
      <c r="M75" s="8">
        <f t="shared" si="8"/>
        <v>530400</v>
      </c>
    </row>
    <row r="76" spans="1:18" x14ac:dyDescent="0.3">
      <c r="A76">
        <v>7</v>
      </c>
      <c r="B76" s="8" t="s">
        <v>174</v>
      </c>
      <c r="C76" s="10" t="s">
        <v>639</v>
      </c>
      <c r="D76" s="8" t="s">
        <v>561</v>
      </c>
      <c r="E76" s="8">
        <v>275</v>
      </c>
      <c r="F76" s="8">
        <v>550</v>
      </c>
      <c r="G76" s="8">
        <v>350</v>
      </c>
      <c r="H76" s="8">
        <v>225</v>
      </c>
      <c r="I76" s="8">
        <v>1500</v>
      </c>
      <c r="J76" s="8">
        <v>100</v>
      </c>
      <c r="K76" s="8">
        <f t="shared" si="6"/>
        <v>0.69230000000000003</v>
      </c>
      <c r="L76" s="8">
        <f t="shared" si="7"/>
        <v>4875</v>
      </c>
      <c r="M76" s="8">
        <f t="shared" si="8"/>
        <v>1706250</v>
      </c>
      <c r="N76" t="s">
        <v>177</v>
      </c>
      <c r="O76" t="s">
        <v>181</v>
      </c>
    </row>
    <row r="77" spans="1:18" x14ac:dyDescent="0.3">
      <c r="A77">
        <v>7</v>
      </c>
      <c r="B77" s="8" t="s">
        <v>176</v>
      </c>
      <c r="C77" s="11" t="s">
        <v>640</v>
      </c>
      <c r="D77" s="8" t="s">
        <v>565</v>
      </c>
      <c r="E77" s="8">
        <v>600</v>
      </c>
      <c r="F77" s="8">
        <v>1400</v>
      </c>
      <c r="G77" s="8">
        <v>420</v>
      </c>
      <c r="H77" s="8">
        <v>265</v>
      </c>
      <c r="I77" s="8">
        <v>1800</v>
      </c>
      <c r="J77" s="8">
        <v>180</v>
      </c>
      <c r="K77" s="8">
        <f t="shared" si="6"/>
        <v>0.72599999999999998</v>
      </c>
      <c r="L77" s="8">
        <f t="shared" si="7"/>
        <v>6570</v>
      </c>
      <c r="M77" s="8">
        <f t="shared" si="8"/>
        <v>2759400</v>
      </c>
      <c r="N77" s="3" t="s">
        <v>183</v>
      </c>
      <c r="O77" t="s">
        <v>210</v>
      </c>
      <c r="P77" s="3" t="s">
        <v>200</v>
      </c>
      <c r="Q77" t="s">
        <v>378</v>
      </c>
      <c r="R77" t="s">
        <v>195</v>
      </c>
    </row>
    <row r="78" spans="1:18" x14ac:dyDescent="0.3">
      <c r="A78">
        <v>7</v>
      </c>
      <c r="B78" s="8" t="s">
        <v>178</v>
      </c>
      <c r="C78" s="11" t="s">
        <v>641</v>
      </c>
      <c r="D78" s="8" t="s">
        <v>565</v>
      </c>
      <c r="E78" s="8">
        <v>620</v>
      </c>
      <c r="F78" s="8">
        <v>1200</v>
      </c>
      <c r="G78" s="8">
        <v>410</v>
      </c>
      <c r="H78" s="8">
        <v>230</v>
      </c>
      <c r="I78" s="8">
        <v>1600</v>
      </c>
      <c r="J78" s="8">
        <v>250</v>
      </c>
      <c r="K78" s="8">
        <f t="shared" si="6"/>
        <v>0.69699999999999995</v>
      </c>
      <c r="L78" s="8">
        <f t="shared" si="7"/>
        <v>5280</v>
      </c>
      <c r="M78" s="8">
        <f t="shared" si="8"/>
        <v>2164800</v>
      </c>
      <c r="N78" s="3" t="s">
        <v>188</v>
      </c>
      <c r="O78" t="s">
        <v>202</v>
      </c>
      <c r="P78" s="3" t="s">
        <v>642</v>
      </c>
      <c r="Q78" t="s">
        <v>208</v>
      </c>
      <c r="R78" t="s">
        <v>216</v>
      </c>
    </row>
    <row r="79" spans="1:18" x14ac:dyDescent="0.3">
      <c r="A79">
        <v>7</v>
      </c>
      <c r="B79" s="8" t="s">
        <v>180</v>
      </c>
      <c r="C79" s="11" t="s">
        <v>643</v>
      </c>
      <c r="D79" s="8" t="s">
        <v>565</v>
      </c>
      <c r="E79" s="8">
        <v>700</v>
      </c>
      <c r="F79" s="8">
        <v>1800</v>
      </c>
      <c r="G79" s="8">
        <v>425</v>
      </c>
      <c r="H79" s="8">
        <v>365</v>
      </c>
      <c r="I79" s="8">
        <v>2000</v>
      </c>
      <c r="J79" s="8">
        <v>230</v>
      </c>
      <c r="K79" s="8">
        <f t="shared" si="6"/>
        <v>0.78490000000000004</v>
      </c>
      <c r="L79" s="8">
        <f t="shared" si="7"/>
        <v>9300</v>
      </c>
      <c r="M79" s="8">
        <f t="shared" si="8"/>
        <v>3952500</v>
      </c>
      <c r="N79" s="3" t="s">
        <v>190</v>
      </c>
      <c r="O79" s="3" t="s">
        <v>204</v>
      </c>
      <c r="P79" t="s">
        <v>216</v>
      </c>
      <c r="Q79" t="s">
        <v>206</v>
      </c>
      <c r="R79" t="s">
        <v>381</v>
      </c>
    </row>
    <row r="80" spans="1:18" x14ac:dyDescent="0.3">
      <c r="A80">
        <v>7</v>
      </c>
      <c r="B80" s="8" t="s">
        <v>182</v>
      </c>
      <c r="C80" s="11" t="s">
        <v>644</v>
      </c>
      <c r="D80" s="8" t="s">
        <v>565</v>
      </c>
      <c r="E80" s="8">
        <v>15000</v>
      </c>
      <c r="F80" s="8">
        <v>15000</v>
      </c>
      <c r="G80" s="8">
        <v>580</v>
      </c>
      <c r="H80" s="8">
        <v>460</v>
      </c>
      <c r="I80" s="8">
        <v>2800</v>
      </c>
      <c r="J80" s="8">
        <v>280</v>
      </c>
      <c r="K80" s="8">
        <f t="shared" si="6"/>
        <v>0.82140000000000002</v>
      </c>
      <c r="L80" s="8">
        <f t="shared" si="7"/>
        <v>15680</v>
      </c>
      <c r="M80" s="8">
        <f t="shared" si="8"/>
        <v>9094400</v>
      </c>
      <c r="N80" s="3" t="s">
        <v>192</v>
      </c>
    </row>
    <row r="81" spans="1:19" x14ac:dyDescent="0.3">
      <c r="A81">
        <v>7</v>
      </c>
      <c r="B81" s="8" t="s">
        <v>185</v>
      </c>
      <c r="C81" s="10" t="s">
        <v>645</v>
      </c>
      <c r="D81" s="8" t="s">
        <v>561</v>
      </c>
      <c r="E81" s="8">
        <v>100</v>
      </c>
      <c r="F81" s="8">
        <v>1200</v>
      </c>
      <c r="G81" s="8">
        <v>800</v>
      </c>
      <c r="H81" s="8">
        <v>0</v>
      </c>
      <c r="I81" s="8">
        <v>450</v>
      </c>
      <c r="J81" s="8">
        <v>300</v>
      </c>
      <c r="K81" s="8">
        <f t="shared" si="6"/>
        <v>0</v>
      </c>
      <c r="L81" s="8">
        <f t="shared" si="7"/>
        <v>450</v>
      </c>
      <c r="M81" s="8">
        <f t="shared" si="8"/>
        <v>360000</v>
      </c>
      <c r="N81" t="s">
        <v>186</v>
      </c>
      <c r="O81" s="3" t="s">
        <v>212</v>
      </c>
    </row>
    <row r="82" spans="1:19" x14ac:dyDescent="0.3">
      <c r="A82" t="s">
        <v>646</v>
      </c>
      <c r="B82" s="8" t="s">
        <v>187</v>
      </c>
      <c r="C82" s="9" t="s">
        <v>647</v>
      </c>
      <c r="D82" s="8" t="s">
        <v>554</v>
      </c>
      <c r="E82" s="8">
        <v>185</v>
      </c>
      <c r="F82" s="8">
        <v>320</v>
      </c>
      <c r="G82" s="8">
        <v>400</v>
      </c>
      <c r="H82" s="8">
        <v>235</v>
      </c>
      <c r="I82" s="8">
        <v>850</v>
      </c>
      <c r="J82" s="8">
        <v>120</v>
      </c>
      <c r="K82" s="8">
        <f t="shared" si="6"/>
        <v>0.70150000000000001</v>
      </c>
      <c r="L82" s="8">
        <f t="shared" si="7"/>
        <v>2847.5</v>
      </c>
      <c r="M82" s="8">
        <f t="shared" si="8"/>
        <v>1139000</v>
      </c>
    </row>
    <row r="83" spans="1:19" x14ac:dyDescent="0.3">
      <c r="A83">
        <v>8</v>
      </c>
      <c r="B83" s="8" t="s">
        <v>189</v>
      </c>
      <c r="C83" s="9" t="s">
        <v>648</v>
      </c>
      <c r="D83" s="8" t="s">
        <v>554</v>
      </c>
      <c r="E83" s="8">
        <v>175</v>
      </c>
      <c r="F83" s="8">
        <v>330</v>
      </c>
      <c r="G83" s="8">
        <v>400</v>
      </c>
      <c r="H83" s="8">
        <v>250</v>
      </c>
      <c r="I83" s="8">
        <v>850</v>
      </c>
      <c r="J83" s="8">
        <v>120</v>
      </c>
      <c r="K83" s="8">
        <f t="shared" si="6"/>
        <v>0.71430000000000005</v>
      </c>
      <c r="L83" s="8">
        <f t="shared" si="7"/>
        <v>2975</v>
      </c>
      <c r="M83" s="8">
        <f t="shared" si="8"/>
        <v>1190000</v>
      </c>
    </row>
    <row r="84" spans="1:19" x14ac:dyDescent="0.3">
      <c r="A84">
        <v>8</v>
      </c>
      <c r="B84" s="8" t="s">
        <v>191</v>
      </c>
      <c r="C84" s="9" t="s">
        <v>649</v>
      </c>
      <c r="D84" s="8" t="s">
        <v>554</v>
      </c>
      <c r="E84" s="8">
        <v>175</v>
      </c>
      <c r="F84" s="8">
        <v>290</v>
      </c>
      <c r="G84" s="8">
        <v>425</v>
      </c>
      <c r="H84" s="8">
        <v>220</v>
      </c>
      <c r="I84" s="8">
        <v>800</v>
      </c>
      <c r="J84" s="8">
        <v>130</v>
      </c>
      <c r="K84" s="8">
        <f t="shared" si="6"/>
        <v>0.6875</v>
      </c>
      <c r="L84" s="8">
        <f t="shared" si="7"/>
        <v>2560</v>
      </c>
      <c r="M84" s="8">
        <f t="shared" si="8"/>
        <v>1088000</v>
      </c>
    </row>
    <row r="85" spans="1:19" x14ac:dyDescent="0.3">
      <c r="A85">
        <v>8</v>
      </c>
      <c r="B85" s="8" t="s">
        <v>194</v>
      </c>
      <c r="C85" s="9" t="s">
        <v>650</v>
      </c>
      <c r="D85" s="8" t="s">
        <v>554</v>
      </c>
      <c r="E85" s="8">
        <v>190</v>
      </c>
      <c r="F85" s="8">
        <v>340</v>
      </c>
      <c r="G85" s="8">
        <v>450</v>
      </c>
      <c r="H85" s="8">
        <v>190</v>
      </c>
      <c r="I85" s="8">
        <v>820</v>
      </c>
      <c r="J85" s="8">
        <v>135</v>
      </c>
      <c r="K85" s="8">
        <f t="shared" si="6"/>
        <v>0.6552</v>
      </c>
      <c r="L85" s="8">
        <f t="shared" si="7"/>
        <v>2378</v>
      </c>
      <c r="M85" s="8">
        <f t="shared" si="8"/>
        <v>1070100</v>
      </c>
    </row>
    <row r="86" spans="1:19" x14ac:dyDescent="0.3">
      <c r="A86">
        <v>8</v>
      </c>
      <c r="B86" s="8" t="s">
        <v>196</v>
      </c>
      <c r="C86" s="9" t="s">
        <v>651</v>
      </c>
      <c r="D86" s="8" t="s">
        <v>554</v>
      </c>
      <c r="E86" s="8">
        <v>200</v>
      </c>
      <c r="F86" s="8">
        <v>325</v>
      </c>
      <c r="G86" s="8">
        <v>460</v>
      </c>
      <c r="H86" s="8">
        <v>180</v>
      </c>
      <c r="I86" s="8">
        <v>750</v>
      </c>
      <c r="J86" s="8">
        <v>150</v>
      </c>
      <c r="K86" s="8">
        <f t="shared" si="6"/>
        <v>0.64290000000000003</v>
      </c>
      <c r="L86" s="8">
        <f t="shared" si="7"/>
        <v>2100</v>
      </c>
      <c r="M86" s="8">
        <f t="shared" si="8"/>
        <v>966000</v>
      </c>
    </row>
    <row r="87" spans="1:19" x14ac:dyDescent="0.3">
      <c r="A87">
        <v>8</v>
      </c>
      <c r="B87" s="8" t="s">
        <v>199</v>
      </c>
      <c r="C87" s="9" t="s">
        <v>652</v>
      </c>
      <c r="D87" s="8" t="s">
        <v>554</v>
      </c>
      <c r="E87" s="8">
        <v>195</v>
      </c>
      <c r="F87" s="8">
        <v>350</v>
      </c>
      <c r="G87" s="8">
        <v>375</v>
      </c>
      <c r="H87" s="8">
        <v>300</v>
      </c>
      <c r="I87" s="8">
        <v>1000</v>
      </c>
      <c r="J87" s="8">
        <v>100</v>
      </c>
      <c r="K87" s="8">
        <f t="shared" si="6"/>
        <v>0.75</v>
      </c>
      <c r="L87" s="8">
        <f t="shared" si="7"/>
        <v>4000</v>
      </c>
      <c r="M87" s="8">
        <f t="shared" si="8"/>
        <v>1500000</v>
      </c>
      <c r="N87" t="s">
        <v>227</v>
      </c>
    </row>
    <row r="88" spans="1:19" x14ac:dyDescent="0.3">
      <c r="A88">
        <v>8</v>
      </c>
      <c r="B88" s="8" t="s">
        <v>201</v>
      </c>
      <c r="C88" s="9" t="s">
        <v>653</v>
      </c>
      <c r="D88" s="8" t="s">
        <v>554</v>
      </c>
      <c r="E88" s="8">
        <v>150</v>
      </c>
      <c r="F88" s="8">
        <v>350</v>
      </c>
      <c r="G88" s="8">
        <v>450</v>
      </c>
      <c r="H88" s="8">
        <v>250</v>
      </c>
      <c r="I88" s="8">
        <v>1000</v>
      </c>
      <c r="J88" s="8">
        <v>100</v>
      </c>
      <c r="K88" s="8">
        <f t="shared" si="6"/>
        <v>0.71430000000000005</v>
      </c>
      <c r="L88" s="8">
        <f t="shared" si="7"/>
        <v>3500</v>
      </c>
      <c r="M88" s="8">
        <f t="shared" si="8"/>
        <v>1575000</v>
      </c>
      <c r="N88" t="s">
        <v>227</v>
      </c>
    </row>
    <row r="89" spans="1:19" x14ac:dyDescent="0.3">
      <c r="A89">
        <v>8</v>
      </c>
      <c r="B89" s="8" t="s">
        <v>203</v>
      </c>
      <c r="C89" s="10" t="s">
        <v>654</v>
      </c>
      <c r="D89" s="8" t="s">
        <v>561</v>
      </c>
      <c r="E89" s="8">
        <v>300</v>
      </c>
      <c r="F89" s="8">
        <v>1000</v>
      </c>
      <c r="G89" s="8">
        <v>500</v>
      </c>
      <c r="H89" s="8">
        <v>275</v>
      </c>
      <c r="I89" s="8">
        <v>1500</v>
      </c>
      <c r="J89" s="8">
        <v>270</v>
      </c>
      <c r="K89" s="8">
        <f t="shared" si="6"/>
        <v>0.73329999999999995</v>
      </c>
      <c r="L89" s="8">
        <f t="shared" si="7"/>
        <v>5625</v>
      </c>
      <c r="M89" s="8">
        <f t="shared" si="8"/>
        <v>2812500</v>
      </c>
    </row>
    <row r="90" spans="1:19" x14ac:dyDescent="0.3">
      <c r="A90">
        <v>8</v>
      </c>
      <c r="B90" s="8" t="s">
        <v>205</v>
      </c>
      <c r="C90" s="11" t="s">
        <v>655</v>
      </c>
      <c r="D90" s="8" t="s">
        <v>565</v>
      </c>
      <c r="E90" s="8">
        <v>750</v>
      </c>
      <c r="F90" s="8">
        <v>3000</v>
      </c>
      <c r="G90" s="8">
        <v>850</v>
      </c>
      <c r="H90" s="8">
        <v>300</v>
      </c>
      <c r="I90" s="8">
        <v>2300</v>
      </c>
      <c r="J90" s="8">
        <v>250</v>
      </c>
      <c r="K90" s="8">
        <f t="shared" si="6"/>
        <v>0.75</v>
      </c>
      <c r="L90" s="8">
        <f t="shared" si="7"/>
        <v>9200</v>
      </c>
      <c r="M90" s="8">
        <f t="shared" si="8"/>
        <v>7820000</v>
      </c>
      <c r="N90" t="s">
        <v>222</v>
      </c>
      <c r="O90" t="s">
        <v>233</v>
      </c>
      <c r="P90" s="3" t="s">
        <v>238</v>
      </c>
    </row>
    <row r="91" spans="1:19" x14ac:dyDescent="0.3">
      <c r="A91">
        <v>8</v>
      </c>
      <c r="B91" s="8" t="s">
        <v>207</v>
      </c>
      <c r="C91" s="11" t="s">
        <v>656</v>
      </c>
      <c r="D91" s="8" t="s">
        <v>565</v>
      </c>
      <c r="E91" s="8">
        <v>750</v>
      </c>
      <c r="F91" s="8">
        <v>3000</v>
      </c>
      <c r="G91" s="8">
        <v>580</v>
      </c>
      <c r="H91" s="8">
        <v>390</v>
      </c>
      <c r="I91" s="8">
        <v>2700</v>
      </c>
      <c r="J91" s="8">
        <v>250</v>
      </c>
      <c r="K91" s="8">
        <f t="shared" si="6"/>
        <v>0.79590000000000005</v>
      </c>
      <c r="L91" s="8">
        <f t="shared" si="7"/>
        <v>13230</v>
      </c>
      <c r="M91" s="8">
        <f t="shared" si="8"/>
        <v>7673400</v>
      </c>
      <c r="N91" t="s">
        <v>229</v>
      </c>
      <c r="O91" s="3" t="s">
        <v>231</v>
      </c>
      <c r="P91" s="3" t="s">
        <v>240</v>
      </c>
    </row>
    <row r="92" spans="1:19" x14ac:dyDescent="0.3">
      <c r="A92">
        <v>8</v>
      </c>
      <c r="B92" s="8" t="s">
        <v>209</v>
      </c>
      <c r="C92" s="11" t="s">
        <v>657</v>
      </c>
      <c r="D92" s="8" t="s">
        <v>565</v>
      </c>
      <c r="E92" s="8">
        <v>17500</v>
      </c>
      <c r="F92" s="8">
        <v>17500</v>
      </c>
      <c r="G92" s="8">
        <v>900</v>
      </c>
      <c r="H92" s="8">
        <v>580</v>
      </c>
      <c r="I92" s="8">
        <v>4000</v>
      </c>
      <c r="J92" s="8">
        <v>400</v>
      </c>
      <c r="K92" s="8">
        <f t="shared" si="6"/>
        <v>0.85289999999999999</v>
      </c>
      <c r="L92" s="8">
        <f t="shared" si="7"/>
        <v>27200</v>
      </c>
      <c r="M92" s="8">
        <f t="shared" si="8"/>
        <v>24480000</v>
      </c>
      <c r="N92" s="3" t="s">
        <v>235</v>
      </c>
    </row>
    <row r="93" spans="1:19" x14ac:dyDescent="0.3">
      <c r="A93">
        <v>8</v>
      </c>
      <c r="B93" s="8" t="s">
        <v>211</v>
      </c>
      <c r="C93" s="10" t="s">
        <v>658</v>
      </c>
      <c r="D93" s="8" t="s">
        <v>561</v>
      </c>
      <c r="E93" s="8">
        <v>300</v>
      </c>
      <c r="F93" s="8">
        <v>1200</v>
      </c>
      <c r="G93" s="8">
        <v>1000</v>
      </c>
      <c r="H93" s="8">
        <v>120</v>
      </c>
      <c r="I93" s="8">
        <v>1400</v>
      </c>
      <c r="J93" s="8">
        <v>400</v>
      </c>
      <c r="K93" s="8">
        <f t="shared" si="6"/>
        <v>0.54549999999999998</v>
      </c>
      <c r="L93" s="8">
        <f t="shared" si="7"/>
        <v>3080</v>
      </c>
      <c r="M93" s="8">
        <f t="shared" si="8"/>
        <v>3080000</v>
      </c>
      <c r="N93" t="s">
        <v>242</v>
      </c>
    </row>
    <row r="94" spans="1:19" x14ac:dyDescent="0.3">
      <c r="A94">
        <v>8</v>
      </c>
      <c r="B94" s="8" t="s">
        <v>213</v>
      </c>
      <c r="C94" s="10" t="s">
        <v>659</v>
      </c>
      <c r="D94" s="8" t="s">
        <v>561</v>
      </c>
      <c r="E94" s="8">
        <v>480</v>
      </c>
      <c r="F94" s="8">
        <v>950</v>
      </c>
      <c r="G94" s="8">
        <v>480</v>
      </c>
      <c r="H94" s="8">
        <v>300</v>
      </c>
      <c r="I94" s="8">
        <v>2400</v>
      </c>
      <c r="J94" s="8">
        <v>230</v>
      </c>
      <c r="K94" s="8">
        <f t="shared" si="6"/>
        <v>0.75</v>
      </c>
      <c r="L94" s="8">
        <f t="shared" si="7"/>
        <v>9600</v>
      </c>
      <c r="M94" s="8">
        <f t="shared" si="8"/>
        <v>4608000</v>
      </c>
      <c r="N94" t="s">
        <v>244</v>
      </c>
    </row>
    <row r="95" spans="1:19" x14ac:dyDescent="0.3">
      <c r="A95">
        <v>8</v>
      </c>
      <c r="B95" s="8" t="s">
        <v>215</v>
      </c>
      <c r="C95" s="11" t="s">
        <v>660</v>
      </c>
      <c r="D95" s="8" t="s">
        <v>565</v>
      </c>
      <c r="E95" s="8">
        <v>800</v>
      </c>
      <c r="F95" s="8">
        <v>3600</v>
      </c>
      <c r="G95" s="8">
        <v>750</v>
      </c>
      <c r="H95" s="8">
        <v>340</v>
      </c>
      <c r="I95" s="8">
        <v>2500</v>
      </c>
      <c r="J95" s="8">
        <v>600</v>
      </c>
      <c r="K95" s="8">
        <f t="shared" si="6"/>
        <v>0.77270000000000005</v>
      </c>
      <c r="L95" s="8">
        <f t="shared" si="7"/>
        <v>11000</v>
      </c>
      <c r="M95" s="8">
        <f t="shared" si="8"/>
        <v>8250000</v>
      </c>
      <c r="N95" t="s">
        <v>246</v>
      </c>
      <c r="O95" t="s">
        <v>383</v>
      </c>
      <c r="P95" t="s">
        <v>386</v>
      </c>
      <c r="Q95" t="s">
        <v>389</v>
      </c>
      <c r="R95" t="s">
        <v>392</v>
      </c>
    </row>
    <row r="96" spans="1:19" x14ac:dyDescent="0.3">
      <c r="A96">
        <v>8</v>
      </c>
      <c r="B96" s="8" t="s">
        <v>217</v>
      </c>
      <c r="C96" s="11" t="s">
        <v>661</v>
      </c>
      <c r="D96" s="8" t="s">
        <v>565</v>
      </c>
      <c r="E96" s="8">
        <v>900</v>
      </c>
      <c r="F96" s="8">
        <v>4000</v>
      </c>
      <c r="G96" s="8">
        <v>820</v>
      </c>
      <c r="H96" s="8">
        <v>360</v>
      </c>
      <c r="I96" s="8">
        <v>2600</v>
      </c>
      <c r="J96" s="8">
        <v>250</v>
      </c>
      <c r="K96" s="8">
        <f t="shared" si="6"/>
        <v>0.78259999999999996</v>
      </c>
      <c r="L96" s="8">
        <f t="shared" si="7"/>
        <v>11960</v>
      </c>
      <c r="M96" s="8">
        <f t="shared" si="8"/>
        <v>9807200</v>
      </c>
      <c r="N96" s="3" t="s">
        <v>248</v>
      </c>
      <c r="O96" t="s">
        <v>395</v>
      </c>
      <c r="P96" t="s">
        <v>398</v>
      </c>
      <c r="Q96" s="3" t="s">
        <v>401</v>
      </c>
      <c r="R96" s="12" t="s">
        <v>404</v>
      </c>
      <c r="S96" t="s">
        <v>407</v>
      </c>
    </row>
    <row r="97" spans="1:18" x14ac:dyDescent="0.3">
      <c r="A97" t="s">
        <v>662</v>
      </c>
      <c r="B97" s="8" t="s">
        <v>219</v>
      </c>
      <c r="C97" s="9" t="s">
        <v>663</v>
      </c>
      <c r="D97" s="8" t="s">
        <v>554</v>
      </c>
      <c r="E97" s="8">
        <v>195</v>
      </c>
      <c r="F97" s="8">
        <v>425</v>
      </c>
      <c r="G97" s="8">
        <v>600</v>
      </c>
      <c r="H97" s="8">
        <v>320</v>
      </c>
      <c r="I97" s="8">
        <v>1000</v>
      </c>
      <c r="J97" s="8">
        <v>230</v>
      </c>
      <c r="K97" s="8">
        <f t="shared" si="6"/>
        <v>0.76190000000000002</v>
      </c>
      <c r="L97" s="8">
        <f t="shared" si="7"/>
        <v>4200</v>
      </c>
      <c r="M97" s="8">
        <f t="shared" si="8"/>
        <v>2520000</v>
      </c>
    </row>
    <row r="98" spans="1:18" x14ac:dyDescent="0.3">
      <c r="A98">
        <v>9</v>
      </c>
      <c r="B98" s="8" t="s">
        <v>221</v>
      </c>
      <c r="C98" s="9" t="s">
        <v>664</v>
      </c>
      <c r="D98" s="8" t="s">
        <v>554</v>
      </c>
      <c r="E98" s="8">
        <v>185</v>
      </c>
      <c r="F98" s="8">
        <v>430</v>
      </c>
      <c r="G98" s="8">
        <v>560</v>
      </c>
      <c r="H98" s="8">
        <v>370</v>
      </c>
      <c r="I98" s="8">
        <v>950</v>
      </c>
      <c r="J98" s="8">
        <v>210</v>
      </c>
      <c r="K98" s="8">
        <f t="shared" ref="K98:K128" si="9">ROUND(H98/(H98+100),4)</f>
        <v>0.78720000000000001</v>
      </c>
      <c r="L98" s="8">
        <f t="shared" ref="L98:L128" si="10">ROUND(I98*(H98+100)/100,2)</f>
        <v>4465</v>
      </c>
      <c r="M98" s="8">
        <f t="shared" ref="M98:M128" si="11">ROUND(L98*G98,2)</f>
        <v>2500400</v>
      </c>
    </row>
    <row r="99" spans="1:18" x14ac:dyDescent="0.3">
      <c r="A99">
        <v>9</v>
      </c>
      <c r="B99" s="8" t="s">
        <v>224</v>
      </c>
      <c r="C99" s="9" t="s">
        <v>665</v>
      </c>
      <c r="D99" s="8" t="s">
        <v>554</v>
      </c>
      <c r="E99" s="8">
        <v>180</v>
      </c>
      <c r="F99" s="8">
        <v>385</v>
      </c>
      <c r="G99" s="8">
        <v>650</v>
      </c>
      <c r="H99" s="8">
        <v>300</v>
      </c>
      <c r="I99" s="8">
        <v>880</v>
      </c>
      <c r="J99" s="8">
        <v>280</v>
      </c>
      <c r="K99" s="8">
        <f t="shared" si="9"/>
        <v>0.75</v>
      </c>
      <c r="L99" s="8">
        <f t="shared" si="10"/>
        <v>3520</v>
      </c>
      <c r="M99" s="8">
        <f t="shared" si="11"/>
        <v>2288000</v>
      </c>
    </row>
    <row r="100" spans="1:18" x14ac:dyDescent="0.3">
      <c r="A100">
        <v>9</v>
      </c>
      <c r="B100" s="8" t="s">
        <v>226</v>
      </c>
      <c r="C100" s="9" t="s">
        <v>666</v>
      </c>
      <c r="D100" s="8" t="s">
        <v>554</v>
      </c>
      <c r="E100" s="8">
        <v>200</v>
      </c>
      <c r="F100" s="8">
        <v>445</v>
      </c>
      <c r="G100" s="8">
        <v>670</v>
      </c>
      <c r="H100" s="8">
        <v>370</v>
      </c>
      <c r="I100" s="8">
        <v>1020</v>
      </c>
      <c r="J100" s="8">
        <v>300</v>
      </c>
      <c r="K100" s="8">
        <f t="shared" si="9"/>
        <v>0.78720000000000001</v>
      </c>
      <c r="L100" s="8">
        <f t="shared" si="10"/>
        <v>4794</v>
      </c>
      <c r="M100" s="8">
        <f t="shared" si="11"/>
        <v>3211980</v>
      </c>
    </row>
    <row r="101" spans="1:18" x14ac:dyDescent="0.3">
      <c r="A101">
        <v>9</v>
      </c>
      <c r="B101" s="8" t="s">
        <v>228</v>
      </c>
      <c r="C101" s="9" t="s">
        <v>667</v>
      </c>
      <c r="D101" s="8" t="s">
        <v>554</v>
      </c>
      <c r="E101" s="8">
        <v>210</v>
      </c>
      <c r="F101" s="8">
        <v>425</v>
      </c>
      <c r="G101" s="8">
        <v>580</v>
      </c>
      <c r="H101" s="8">
        <v>350</v>
      </c>
      <c r="I101" s="8">
        <v>1050</v>
      </c>
      <c r="J101" s="8">
        <v>250</v>
      </c>
      <c r="K101" s="8">
        <f t="shared" si="9"/>
        <v>0.77780000000000005</v>
      </c>
      <c r="L101" s="8">
        <f t="shared" si="10"/>
        <v>4725</v>
      </c>
      <c r="M101" s="8">
        <f t="shared" si="11"/>
        <v>2740500</v>
      </c>
    </row>
    <row r="102" spans="1:18" x14ac:dyDescent="0.3">
      <c r="A102">
        <v>9</v>
      </c>
      <c r="B102" s="8" t="s">
        <v>230</v>
      </c>
      <c r="C102" s="9" t="s">
        <v>668</v>
      </c>
      <c r="D102" s="8" t="s">
        <v>554</v>
      </c>
      <c r="E102" s="8">
        <v>200</v>
      </c>
      <c r="F102" s="8">
        <v>500</v>
      </c>
      <c r="G102" s="8">
        <v>3000</v>
      </c>
      <c r="H102" s="8">
        <v>0</v>
      </c>
      <c r="I102" s="8">
        <v>1</v>
      </c>
      <c r="J102" s="8">
        <v>650</v>
      </c>
      <c r="K102" s="8">
        <f t="shared" si="9"/>
        <v>0</v>
      </c>
      <c r="L102" s="8">
        <f t="shared" si="10"/>
        <v>1</v>
      </c>
      <c r="M102" s="8">
        <f t="shared" si="11"/>
        <v>3000</v>
      </c>
    </row>
    <row r="103" spans="1:18" x14ac:dyDescent="0.3">
      <c r="A103">
        <v>9</v>
      </c>
      <c r="B103" s="8" t="s">
        <v>232</v>
      </c>
      <c r="C103" s="9" t="s">
        <v>669</v>
      </c>
      <c r="D103" s="8" t="s">
        <v>554</v>
      </c>
      <c r="E103" s="8">
        <v>155</v>
      </c>
      <c r="F103" s="8">
        <v>465</v>
      </c>
      <c r="G103" s="8">
        <v>645</v>
      </c>
      <c r="H103" s="8">
        <v>370</v>
      </c>
      <c r="I103" s="8">
        <v>800</v>
      </c>
      <c r="J103" s="8">
        <v>300</v>
      </c>
      <c r="K103" s="8">
        <f t="shared" si="9"/>
        <v>0.78720000000000001</v>
      </c>
      <c r="L103" s="8">
        <f t="shared" si="10"/>
        <v>3760</v>
      </c>
      <c r="M103" s="8">
        <f t="shared" si="11"/>
        <v>2425200</v>
      </c>
    </row>
    <row r="104" spans="1:18" x14ac:dyDescent="0.3">
      <c r="A104">
        <v>9</v>
      </c>
      <c r="B104" s="8" t="s">
        <v>234</v>
      </c>
      <c r="C104" s="10" t="s">
        <v>670</v>
      </c>
      <c r="D104" s="8" t="s">
        <v>561</v>
      </c>
      <c r="E104" s="8">
        <v>350</v>
      </c>
      <c r="F104" s="8">
        <v>1400</v>
      </c>
      <c r="G104" s="8">
        <v>900</v>
      </c>
      <c r="H104" s="8">
        <v>400</v>
      </c>
      <c r="I104" s="8">
        <v>1600</v>
      </c>
      <c r="J104" s="8">
        <v>350</v>
      </c>
      <c r="K104" s="8">
        <f t="shared" si="9"/>
        <v>0.8</v>
      </c>
      <c r="L104" s="8">
        <f t="shared" si="10"/>
        <v>8000</v>
      </c>
      <c r="M104" s="8">
        <f t="shared" si="11"/>
        <v>7200000</v>
      </c>
    </row>
    <row r="105" spans="1:18" x14ac:dyDescent="0.3">
      <c r="A105">
        <v>9</v>
      </c>
      <c r="B105" s="8" t="s">
        <v>237</v>
      </c>
      <c r="C105" s="10" t="s">
        <v>671</v>
      </c>
      <c r="D105" s="8" t="s">
        <v>561</v>
      </c>
      <c r="E105" s="8">
        <v>350</v>
      </c>
      <c r="F105" s="8">
        <v>1400</v>
      </c>
      <c r="G105" s="8">
        <v>700</v>
      </c>
      <c r="H105" s="8">
        <v>500</v>
      </c>
      <c r="I105" s="8">
        <v>2000</v>
      </c>
      <c r="J105" s="8">
        <v>400</v>
      </c>
      <c r="K105" s="8">
        <f t="shared" si="9"/>
        <v>0.83330000000000004</v>
      </c>
      <c r="L105" s="8">
        <f t="shared" si="10"/>
        <v>12000</v>
      </c>
      <c r="M105" s="8">
        <f t="shared" si="11"/>
        <v>8400000</v>
      </c>
    </row>
    <row r="106" spans="1:18" x14ac:dyDescent="0.3">
      <c r="A106">
        <v>9</v>
      </c>
      <c r="B106" s="8" t="s">
        <v>239</v>
      </c>
      <c r="C106" s="10" t="s">
        <v>672</v>
      </c>
      <c r="D106" s="8" t="s">
        <v>561</v>
      </c>
      <c r="E106" s="8">
        <v>400</v>
      </c>
      <c r="F106" s="8">
        <v>2000</v>
      </c>
      <c r="G106" s="8">
        <v>3200</v>
      </c>
      <c r="H106" s="8">
        <v>200</v>
      </c>
      <c r="I106" s="8">
        <v>1000</v>
      </c>
      <c r="J106" s="8">
        <v>700</v>
      </c>
      <c r="K106" s="8">
        <f t="shared" si="9"/>
        <v>0.66669999999999996</v>
      </c>
      <c r="L106" s="8">
        <f t="shared" si="10"/>
        <v>3000</v>
      </c>
      <c r="M106" s="8">
        <f t="shared" si="11"/>
        <v>9600000</v>
      </c>
    </row>
    <row r="107" spans="1:18" x14ac:dyDescent="0.3">
      <c r="A107">
        <v>9</v>
      </c>
      <c r="B107" s="8" t="s">
        <v>241</v>
      </c>
      <c r="C107" s="11" t="s">
        <v>673</v>
      </c>
      <c r="D107" s="8" t="s">
        <v>565</v>
      </c>
      <c r="E107" s="8">
        <v>760</v>
      </c>
      <c r="F107" s="8">
        <v>4000</v>
      </c>
      <c r="G107" s="8">
        <v>800</v>
      </c>
      <c r="H107" s="8">
        <v>490</v>
      </c>
      <c r="I107" s="8">
        <v>3000</v>
      </c>
      <c r="J107" s="8">
        <v>300</v>
      </c>
      <c r="K107" s="8">
        <f t="shared" si="9"/>
        <v>0.83050000000000002</v>
      </c>
      <c r="L107" s="8">
        <f t="shared" si="10"/>
        <v>17700</v>
      </c>
      <c r="M107" s="8">
        <f t="shared" si="11"/>
        <v>14160000</v>
      </c>
      <c r="N107" s="4" t="s">
        <v>287</v>
      </c>
      <c r="O107" t="s">
        <v>290</v>
      </c>
      <c r="P107" t="s">
        <v>292</v>
      </c>
      <c r="Q107" s="3" t="s">
        <v>295</v>
      </c>
      <c r="R107" s="3" t="s">
        <v>267</v>
      </c>
    </row>
    <row r="108" spans="1:18" x14ac:dyDescent="0.3">
      <c r="A108">
        <v>9</v>
      </c>
      <c r="B108" s="8" t="s">
        <v>243</v>
      </c>
      <c r="C108" s="11" t="s">
        <v>674</v>
      </c>
      <c r="D108" s="8" t="s">
        <v>565</v>
      </c>
      <c r="E108" s="8">
        <v>770</v>
      </c>
      <c r="F108" s="8">
        <v>4200</v>
      </c>
      <c r="G108" s="8">
        <v>900</v>
      </c>
      <c r="H108" s="8">
        <v>460</v>
      </c>
      <c r="I108" s="8">
        <v>2200</v>
      </c>
      <c r="J108" s="8">
        <v>550</v>
      </c>
      <c r="K108" s="8">
        <f t="shared" si="9"/>
        <v>0.82140000000000002</v>
      </c>
      <c r="L108" s="8">
        <f t="shared" si="10"/>
        <v>12320</v>
      </c>
      <c r="M108" s="8">
        <f t="shared" si="11"/>
        <v>11088000</v>
      </c>
      <c r="N108" t="s">
        <v>297</v>
      </c>
      <c r="O108" t="s">
        <v>300</v>
      </c>
      <c r="P108" t="s">
        <v>303</v>
      </c>
      <c r="Q108" s="4" t="s">
        <v>305</v>
      </c>
    </row>
    <row r="109" spans="1:18" x14ac:dyDescent="0.3">
      <c r="A109">
        <v>9</v>
      </c>
      <c r="B109" s="8" t="s">
        <v>245</v>
      </c>
      <c r="C109" s="11" t="s">
        <v>675</v>
      </c>
      <c r="D109" s="8" t="s">
        <v>565</v>
      </c>
      <c r="E109" s="8">
        <v>800</v>
      </c>
      <c r="F109" s="8">
        <v>4400</v>
      </c>
      <c r="G109" s="8">
        <v>900</v>
      </c>
      <c r="H109" s="8">
        <v>550</v>
      </c>
      <c r="I109" s="8">
        <v>3000</v>
      </c>
      <c r="J109" s="8">
        <v>320</v>
      </c>
      <c r="K109" s="8">
        <f t="shared" si="9"/>
        <v>0.84619999999999995</v>
      </c>
      <c r="L109" s="8">
        <f t="shared" si="10"/>
        <v>19500</v>
      </c>
      <c r="M109" s="8">
        <f t="shared" si="11"/>
        <v>17550000</v>
      </c>
      <c r="N109" t="s">
        <v>307</v>
      </c>
      <c r="O109" t="s">
        <v>310</v>
      </c>
      <c r="P109" s="4" t="s">
        <v>676</v>
      </c>
      <c r="Q109" t="s">
        <v>314</v>
      </c>
      <c r="R109" s="4" t="s">
        <v>273</v>
      </c>
    </row>
    <row r="110" spans="1:18" x14ac:dyDescent="0.3">
      <c r="A110">
        <v>9</v>
      </c>
      <c r="B110" s="8" t="s">
        <v>247</v>
      </c>
      <c r="C110" s="11" t="s">
        <v>677</v>
      </c>
      <c r="D110" s="8" t="s">
        <v>565</v>
      </c>
      <c r="E110" s="8">
        <v>850</v>
      </c>
      <c r="F110" s="8">
        <v>4600</v>
      </c>
      <c r="G110" s="8">
        <v>1000</v>
      </c>
      <c r="H110" s="8">
        <v>640</v>
      </c>
      <c r="I110" s="8">
        <v>2900</v>
      </c>
      <c r="J110" s="8">
        <v>350</v>
      </c>
      <c r="K110" s="8">
        <f t="shared" si="9"/>
        <v>0.8649</v>
      </c>
      <c r="L110" s="8">
        <f t="shared" si="10"/>
        <v>21460</v>
      </c>
      <c r="M110" s="8">
        <f t="shared" si="11"/>
        <v>21460000</v>
      </c>
      <c r="N110" t="s">
        <v>316</v>
      </c>
      <c r="O110" t="s">
        <v>319</v>
      </c>
      <c r="P110" s="4" t="s">
        <v>321</v>
      </c>
      <c r="Q110" s="3" t="s">
        <v>324</v>
      </c>
      <c r="R110" s="3" t="s">
        <v>326</v>
      </c>
    </row>
    <row r="111" spans="1:18" x14ac:dyDescent="0.3">
      <c r="A111">
        <v>9</v>
      </c>
      <c r="B111" s="8" t="s">
        <v>249</v>
      </c>
      <c r="C111" s="11" t="s">
        <v>678</v>
      </c>
      <c r="D111" s="8" t="s">
        <v>565</v>
      </c>
      <c r="E111" s="8">
        <v>900</v>
      </c>
      <c r="F111" s="8">
        <v>4800</v>
      </c>
      <c r="G111" s="8">
        <v>1600</v>
      </c>
      <c r="H111" s="8">
        <v>720</v>
      </c>
      <c r="I111" s="8">
        <v>2600</v>
      </c>
      <c r="J111" s="8">
        <v>220</v>
      </c>
      <c r="K111" s="8">
        <f t="shared" si="9"/>
        <v>0.878</v>
      </c>
      <c r="L111" s="8">
        <f t="shared" si="10"/>
        <v>21320</v>
      </c>
      <c r="M111" s="8">
        <f t="shared" si="11"/>
        <v>34112000</v>
      </c>
      <c r="N111" s="3" t="s">
        <v>328</v>
      </c>
      <c r="O111" t="s">
        <v>331</v>
      </c>
      <c r="P111" t="s">
        <v>334</v>
      </c>
      <c r="Q111" t="s">
        <v>337</v>
      </c>
    </row>
    <row r="112" spans="1:18" x14ac:dyDescent="0.3">
      <c r="A112">
        <v>9</v>
      </c>
      <c r="B112" s="8" t="s">
        <v>251</v>
      </c>
      <c r="C112" s="11" t="s">
        <v>679</v>
      </c>
      <c r="D112" s="8" t="s">
        <v>565</v>
      </c>
      <c r="E112" s="8">
        <v>20000</v>
      </c>
      <c r="F112" s="8">
        <v>20000</v>
      </c>
      <c r="G112" s="8">
        <v>1450</v>
      </c>
      <c r="H112" s="8">
        <v>980</v>
      </c>
      <c r="I112" s="8">
        <v>4000</v>
      </c>
      <c r="J112" s="8">
        <v>500</v>
      </c>
      <c r="K112" s="8">
        <f t="shared" si="9"/>
        <v>0.90739999999999998</v>
      </c>
      <c r="L112" s="8">
        <f t="shared" si="10"/>
        <v>43200</v>
      </c>
      <c r="M112" s="8">
        <f t="shared" si="11"/>
        <v>62640000</v>
      </c>
      <c r="N112" t="s">
        <v>275</v>
      </c>
      <c r="O112" s="3" t="s">
        <v>339</v>
      </c>
    </row>
    <row r="113" spans="1:18" x14ac:dyDescent="0.3">
      <c r="A113" t="s">
        <v>680</v>
      </c>
      <c r="B113" s="8" t="s">
        <v>253</v>
      </c>
      <c r="C113" s="9" t="s">
        <v>681</v>
      </c>
      <c r="D113" s="8" t="s">
        <v>554</v>
      </c>
      <c r="E113" s="8">
        <v>220</v>
      </c>
      <c r="F113" s="8">
        <v>520</v>
      </c>
      <c r="G113" s="8">
        <v>950</v>
      </c>
      <c r="H113" s="8">
        <v>500</v>
      </c>
      <c r="I113" s="8">
        <v>1100</v>
      </c>
      <c r="J113" s="8">
        <v>560</v>
      </c>
      <c r="K113" s="8">
        <f t="shared" si="9"/>
        <v>0.83330000000000004</v>
      </c>
      <c r="L113" s="8">
        <f t="shared" si="10"/>
        <v>6600</v>
      </c>
      <c r="M113" s="8">
        <f t="shared" si="11"/>
        <v>6270000</v>
      </c>
    </row>
    <row r="114" spans="1:18" x14ac:dyDescent="0.3">
      <c r="A114">
        <v>10</v>
      </c>
      <c r="B114" s="8" t="s">
        <v>255</v>
      </c>
      <c r="C114" s="9" t="s">
        <v>682</v>
      </c>
      <c r="D114" s="8" t="s">
        <v>554</v>
      </c>
      <c r="E114" s="8">
        <v>235</v>
      </c>
      <c r="F114" s="8">
        <v>540</v>
      </c>
      <c r="G114" s="8">
        <v>850</v>
      </c>
      <c r="H114" s="8">
        <v>680</v>
      </c>
      <c r="I114" s="8">
        <v>1300</v>
      </c>
      <c r="J114" s="8">
        <v>480</v>
      </c>
      <c r="K114" s="8">
        <f t="shared" si="9"/>
        <v>0.87180000000000002</v>
      </c>
      <c r="L114" s="8">
        <f t="shared" si="10"/>
        <v>10140</v>
      </c>
      <c r="M114" s="8">
        <f t="shared" si="11"/>
        <v>8619000</v>
      </c>
    </row>
    <row r="115" spans="1:18" x14ac:dyDescent="0.3">
      <c r="A115">
        <v>10</v>
      </c>
      <c r="B115" s="8" t="s">
        <v>258</v>
      </c>
      <c r="C115" s="9" t="s">
        <v>683</v>
      </c>
      <c r="D115" s="8" t="s">
        <v>554</v>
      </c>
      <c r="E115" s="8">
        <v>195</v>
      </c>
      <c r="F115" s="8">
        <v>490</v>
      </c>
      <c r="G115" s="8">
        <v>820</v>
      </c>
      <c r="H115" s="8">
        <v>600</v>
      </c>
      <c r="I115" s="8">
        <v>1250</v>
      </c>
      <c r="J115" s="8">
        <v>500</v>
      </c>
      <c r="K115" s="8">
        <f t="shared" si="9"/>
        <v>0.85709999999999997</v>
      </c>
      <c r="L115" s="8">
        <f t="shared" si="10"/>
        <v>8750</v>
      </c>
      <c r="M115" s="8">
        <f t="shared" si="11"/>
        <v>7175000</v>
      </c>
    </row>
    <row r="116" spans="1:18" x14ac:dyDescent="0.3">
      <c r="A116">
        <v>10</v>
      </c>
      <c r="B116" s="8" t="s">
        <v>260</v>
      </c>
      <c r="C116" s="9" t="s">
        <v>684</v>
      </c>
      <c r="D116" s="8" t="s">
        <v>554</v>
      </c>
      <c r="E116" s="8">
        <v>250</v>
      </c>
      <c r="F116" s="8">
        <v>500</v>
      </c>
      <c r="G116" s="8">
        <v>800</v>
      </c>
      <c r="H116" s="8">
        <v>590</v>
      </c>
      <c r="I116" s="8">
        <v>1180</v>
      </c>
      <c r="J116" s="8">
        <v>520</v>
      </c>
      <c r="K116" s="8">
        <f t="shared" si="9"/>
        <v>0.85509999999999997</v>
      </c>
      <c r="L116" s="8">
        <f t="shared" si="10"/>
        <v>8142</v>
      </c>
      <c r="M116" s="8">
        <f t="shared" si="11"/>
        <v>6513600</v>
      </c>
    </row>
    <row r="117" spans="1:18" x14ac:dyDescent="0.3">
      <c r="A117">
        <v>10</v>
      </c>
      <c r="B117" s="8" t="s">
        <v>262</v>
      </c>
      <c r="C117" s="9" t="s">
        <v>685</v>
      </c>
      <c r="D117" s="8" t="s">
        <v>554</v>
      </c>
      <c r="E117" s="8">
        <v>200</v>
      </c>
      <c r="F117" s="8">
        <v>515</v>
      </c>
      <c r="G117" s="8">
        <v>4000</v>
      </c>
      <c r="H117" s="8">
        <v>100</v>
      </c>
      <c r="I117" s="8">
        <v>1000</v>
      </c>
      <c r="J117" s="8">
        <v>720</v>
      </c>
      <c r="K117" s="8">
        <f t="shared" si="9"/>
        <v>0.5</v>
      </c>
      <c r="L117" s="8">
        <f t="shared" si="10"/>
        <v>2000</v>
      </c>
      <c r="M117" s="8">
        <f t="shared" si="11"/>
        <v>8000000</v>
      </c>
    </row>
    <row r="118" spans="1:18" x14ac:dyDescent="0.3">
      <c r="A118">
        <v>10</v>
      </c>
      <c r="B118" s="8" t="s">
        <v>264</v>
      </c>
      <c r="C118" s="10" t="s">
        <v>686</v>
      </c>
      <c r="D118" s="8" t="s">
        <v>561</v>
      </c>
      <c r="E118" s="8">
        <v>450</v>
      </c>
      <c r="F118" s="8">
        <v>2100</v>
      </c>
      <c r="G118" s="8">
        <v>1200</v>
      </c>
      <c r="H118" s="8">
        <v>700</v>
      </c>
      <c r="I118" s="8">
        <v>1600</v>
      </c>
      <c r="J118" s="8">
        <v>500</v>
      </c>
      <c r="K118" s="8">
        <f t="shared" si="9"/>
        <v>0.875</v>
      </c>
      <c r="L118" s="8">
        <f t="shared" si="10"/>
        <v>12800</v>
      </c>
      <c r="M118" s="8">
        <f t="shared" si="11"/>
        <v>15360000</v>
      </c>
    </row>
    <row r="119" spans="1:18" x14ac:dyDescent="0.3">
      <c r="A119">
        <v>10</v>
      </c>
      <c r="B119" s="8" t="s">
        <v>266</v>
      </c>
      <c r="C119" s="10" t="s">
        <v>687</v>
      </c>
      <c r="D119" s="8" t="s">
        <v>561</v>
      </c>
      <c r="E119" s="8">
        <v>500</v>
      </c>
      <c r="F119" s="8">
        <v>2400</v>
      </c>
      <c r="G119" s="8">
        <v>5500</v>
      </c>
      <c r="H119" s="8">
        <v>200</v>
      </c>
      <c r="I119" s="8">
        <v>1200</v>
      </c>
      <c r="J119" s="8">
        <v>800</v>
      </c>
      <c r="K119" s="8">
        <f t="shared" si="9"/>
        <v>0.66669999999999996</v>
      </c>
      <c r="L119" s="8">
        <f t="shared" si="10"/>
        <v>3600</v>
      </c>
      <c r="M119" s="8">
        <f t="shared" si="11"/>
        <v>19800000</v>
      </c>
    </row>
    <row r="120" spans="1:18" x14ac:dyDescent="0.3">
      <c r="A120">
        <v>10</v>
      </c>
      <c r="B120" s="8" t="s">
        <v>268</v>
      </c>
      <c r="C120" s="10" t="s">
        <v>688</v>
      </c>
      <c r="D120" s="8" t="s">
        <v>561</v>
      </c>
      <c r="E120" s="8">
        <v>510</v>
      </c>
      <c r="F120" s="8">
        <v>1800</v>
      </c>
      <c r="G120" s="8">
        <v>1200</v>
      </c>
      <c r="H120" s="8">
        <v>540</v>
      </c>
      <c r="I120" s="8">
        <v>1400</v>
      </c>
      <c r="J120" s="8">
        <v>620</v>
      </c>
      <c r="K120" s="8">
        <f t="shared" si="9"/>
        <v>0.84379999999999999</v>
      </c>
      <c r="L120" s="8">
        <f t="shared" si="10"/>
        <v>8960</v>
      </c>
      <c r="M120" s="8">
        <f t="shared" si="11"/>
        <v>10752000</v>
      </c>
    </row>
    <row r="121" spans="1:18" x14ac:dyDescent="0.3">
      <c r="A121">
        <v>10</v>
      </c>
      <c r="B121" s="8" t="s">
        <v>270</v>
      </c>
      <c r="C121" s="10" t="s">
        <v>689</v>
      </c>
      <c r="D121" s="8" t="s">
        <v>561</v>
      </c>
      <c r="E121" s="8">
        <v>600</v>
      </c>
      <c r="F121" s="8">
        <v>2200</v>
      </c>
      <c r="G121" s="8">
        <v>1500</v>
      </c>
      <c r="H121" s="8">
        <v>620</v>
      </c>
      <c r="I121" s="8">
        <v>1500</v>
      </c>
      <c r="J121" s="8">
        <v>600</v>
      </c>
      <c r="K121" s="8">
        <f t="shared" si="9"/>
        <v>0.86109999999999998</v>
      </c>
      <c r="L121" s="8">
        <f t="shared" si="10"/>
        <v>10800</v>
      </c>
      <c r="M121" s="8">
        <f t="shared" si="11"/>
        <v>16200000</v>
      </c>
    </row>
    <row r="122" spans="1:18" x14ac:dyDescent="0.3">
      <c r="A122">
        <v>10</v>
      </c>
      <c r="B122" s="8" t="s">
        <v>272</v>
      </c>
      <c r="C122" s="11" t="s">
        <v>690</v>
      </c>
      <c r="D122" s="8" t="s">
        <v>565</v>
      </c>
      <c r="E122" s="8">
        <v>920</v>
      </c>
      <c r="F122" s="8">
        <v>5500</v>
      </c>
      <c r="G122" s="8">
        <v>1800</v>
      </c>
      <c r="H122" s="8">
        <v>820</v>
      </c>
      <c r="I122" s="8">
        <v>2400</v>
      </c>
      <c r="J122" s="8">
        <v>600</v>
      </c>
      <c r="K122" s="8">
        <f t="shared" si="9"/>
        <v>0.89129999999999998</v>
      </c>
      <c r="L122" s="8">
        <f t="shared" si="10"/>
        <v>22080</v>
      </c>
      <c r="M122" s="8">
        <f t="shared" si="11"/>
        <v>39744000</v>
      </c>
      <c r="N122" t="s">
        <v>448</v>
      </c>
      <c r="O122" t="s">
        <v>450</v>
      </c>
      <c r="P122" t="s">
        <v>451</v>
      </c>
      <c r="Q122" t="s">
        <v>452</v>
      </c>
      <c r="R122" s="12" t="s">
        <v>453</v>
      </c>
    </row>
    <row r="123" spans="1:18" x14ac:dyDescent="0.3">
      <c r="A123">
        <v>10</v>
      </c>
      <c r="B123" s="8" t="s">
        <v>274</v>
      </c>
      <c r="C123" s="11" t="s">
        <v>691</v>
      </c>
      <c r="D123" s="8" t="s">
        <v>565</v>
      </c>
      <c r="E123" s="8">
        <v>940</v>
      </c>
      <c r="F123" s="8">
        <v>5700</v>
      </c>
      <c r="G123" s="8">
        <v>2100</v>
      </c>
      <c r="H123" s="8">
        <v>690</v>
      </c>
      <c r="I123" s="8">
        <v>2260</v>
      </c>
      <c r="J123" s="8">
        <v>400</v>
      </c>
      <c r="K123" s="8">
        <f t="shared" si="9"/>
        <v>0.87339999999999995</v>
      </c>
      <c r="L123" s="8">
        <f t="shared" si="10"/>
        <v>17854</v>
      </c>
      <c r="M123" s="8">
        <f t="shared" si="11"/>
        <v>37493400</v>
      </c>
      <c r="N123" t="s">
        <v>454</v>
      </c>
      <c r="O123" t="s">
        <v>456</v>
      </c>
      <c r="P123" t="s">
        <v>457</v>
      </c>
      <c r="Q123" t="s">
        <v>458</v>
      </c>
      <c r="R123" s="12" t="s">
        <v>459</v>
      </c>
    </row>
    <row r="124" spans="1:18" x14ac:dyDescent="0.3">
      <c r="A124">
        <v>10</v>
      </c>
      <c r="B124" s="8" t="s">
        <v>277</v>
      </c>
      <c r="C124" s="11" t="s">
        <v>692</v>
      </c>
      <c r="D124" s="8" t="s">
        <v>565</v>
      </c>
      <c r="E124" s="8">
        <v>950</v>
      </c>
      <c r="F124" s="8">
        <v>5900</v>
      </c>
      <c r="G124" s="8">
        <v>2450</v>
      </c>
      <c r="H124" s="8">
        <v>730</v>
      </c>
      <c r="I124" s="8">
        <v>2150</v>
      </c>
      <c r="J124" s="8">
        <v>700</v>
      </c>
      <c r="K124" s="8">
        <f t="shared" si="9"/>
        <v>0.87949999999999995</v>
      </c>
      <c r="L124" s="8">
        <f t="shared" si="10"/>
        <v>17845</v>
      </c>
      <c r="M124" s="8">
        <f t="shared" si="11"/>
        <v>43720250</v>
      </c>
      <c r="N124" t="s">
        <v>460</v>
      </c>
      <c r="O124" t="s">
        <v>461</v>
      </c>
      <c r="P124" t="s">
        <v>462</v>
      </c>
      <c r="Q124" t="s">
        <v>464</v>
      </c>
      <c r="R124" s="12" t="s">
        <v>465</v>
      </c>
    </row>
    <row r="125" spans="1:18" x14ac:dyDescent="0.3">
      <c r="A125">
        <v>10</v>
      </c>
      <c r="B125" s="8" t="s">
        <v>280</v>
      </c>
      <c r="C125" s="11" t="s">
        <v>693</v>
      </c>
      <c r="D125" s="8" t="s">
        <v>565</v>
      </c>
      <c r="E125" s="8">
        <v>1000</v>
      </c>
      <c r="F125" s="8">
        <v>6100</v>
      </c>
      <c r="G125" s="8">
        <v>2700</v>
      </c>
      <c r="H125" s="8">
        <v>765</v>
      </c>
      <c r="I125" s="8">
        <v>2700</v>
      </c>
      <c r="J125" s="8">
        <v>500</v>
      </c>
      <c r="K125" s="8">
        <f t="shared" si="9"/>
        <v>0.88439999999999996</v>
      </c>
      <c r="L125" s="8">
        <f t="shared" si="10"/>
        <v>23355</v>
      </c>
      <c r="M125" s="8">
        <f t="shared" si="11"/>
        <v>63058500</v>
      </c>
      <c r="N125" t="s">
        <v>466</v>
      </c>
      <c r="O125" t="s">
        <v>467</v>
      </c>
      <c r="P125" t="s">
        <v>469</v>
      </c>
      <c r="Q125" s="3" t="s">
        <v>470</v>
      </c>
      <c r="R125" s="13" t="s">
        <v>471</v>
      </c>
    </row>
    <row r="126" spans="1:18" x14ac:dyDescent="0.3">
      <c r="A126">
        <v>10</v>
      </c>
      <c r="B126" s="8" t="s">
        <v>282</v>
      </c>
      <c r="C126" s="11" t="s">
        <v>694</v>
      </c>
      <c r="D126" s="8" t="s">
        <v>565</v>
      </c>
      <c r="E126" s="8">
        <v>1100</v>
      </c>
      <c r="F126" s="8">
        <v>6500</v>
      </c>
      <c r="G126" s="8">
        <v>2550</v>
      </c>
      <c r="H126" s="8">
        <v>900</v>
      </c>
      <c r="I126" s="8">
        <v>3200</v>
      </c>
      <c r="J126" s="8">
        <v>475</v>
      </c>
      <c r="K126" s="8">
        <f t="shared" si="9"/>
        <v>0.9</v>
      </c>
      <c r="L126" s="8">
        <f t="shared" si="10"/>
        <v>32000</v>
      </c>
      <c r="M126" s="8">
        <f t="shared" si="11"/>
        <v>81600000</v>
      </c>
      <c r="N126" t="s">
        <v>472</v>
      </c>
      <c r="O126" t="s">
        <v>474</v>
      </c>
      <c r="P126" t="s">
        <v>475</v>
      </c>
      <c r="Q126" s="3" t="s">
        <v>476</v>
      </c>
      <c r="R126" s="12" t="s">
        <v>477</v>
      </c>
    </row>
    <row r="127" spans="1:18" x14ac:dyDescent="0.3">
      <c r="A127">
        <v>10</v>
      </c>
      <c r="B127" s="8" t="s">
        <v>284</v>
      </c>
      <c r="C127" s="11" t="s">
        <v>695</v>
      </c>
      <c r="D127" s="8" t="s">
        <v>565</v>
      </c>
      <c r="E127" s="8">
        <v>22500</v>
      </c>
      <c r="F127" s="8">
        <v>22500</v>
      </c>
      <c r="G127" s="8">
        <v>2600</v>
      </c>
      <c r="H127" s="8">
        <v>1200</v>
      </c>
      <c r="I127" s="8">
        <v>5000</v>
      </c>
      <c r="J127" s="8">
        <v>650</v>
      </c>
      <c r="K127" s="8">
        <f t="shared" si="9"/>
        <v>0.92310000000000003</v>
      </c>
      <c r="L127" s="8">
        <f t="shared" si="10"/>
        <v>65000</v>
      </c>
      <c r="M127" s="8">
        <f t="shared" si="11"/>
        <v>169000000</v>
      </c>
      <c r="N127" t="s">
        <v>478</v>
      </c>
    </row>
    <row r="128" spans="1:18" x14ac:dyDescent="0.3">
      <c r="A128">
        <v>10</v>
      </c>
      <c r="B128" s="8" t="s">
        <v>286</v>
      </c>
      <c r="C128" s="11" t="s">
        <v>696</v>
      </c>
      <c r="D128" s="8" t="s">
        <v>565</v>
      </c>
      <c r="E128" s="8">
        <v>22500</v>
      </c>
      <c r="F128" s="8">
        <v>22500</v>
      </c>
      <c r="G128" s="8">
        <v>3000</v>
      </c>
      <c r="H128" s="8">
        <v>1300</v>
      </c>
      <c r="I128" s="8">
        <v>6500</v>
      </c>
      <c r="J128" s="8">
        <v>700</v>
      </c>
      <c r="K128" s="8">
        <f t="shared" si="9"/>
        <v>0.92859999999999998</v>
      </c>
      <c r="L128" s="8">
        <f t="shared" si="10"/>
        <v>91000</v>
      </c>
      <c r="M128" s="8">
        <f t="shared" si="11"/>
        <v>273000000</v>
      </c>
      <c r="N128" t="s">
        <v>480</v>
      </c>
      <c r="O128" t="s">
        <v>482</v>
      </c>
    </row>
    <row r="129" spans="1:13" x14ac:dyDescent="0.3">
      <c r="A129" t="s">
        <v>697</v>
      </c>
      <c r="B129" s="8">
        <v>127</v>
      </c>
      <c r="C129" s="9" t="s">
        <v>698</v>
      </c>
      <c r="D129" s="8" t="s">
        <v>554</v>
      </c>
      <c r="E129" s="8">
        <v>225</v>
      </c>
      <c r="F129" s="8">
        <v>675</v>
      </c>
      <c r="G129" s="8">
        <v>2000</v>
      </c>
      <c r="H129" s="8">
        <v>750</v>
      </c>
      <c r="I129" s="8">
        <v>2000</v>
      </c>
      <c r="J129" s="8">
        <v>500</v>
      </c>
      <c r="K129" s="8">
        <v>0.88239999999999996</v>
      </c>
      <c r="L129" s="8">
        <v>17000</v>
      </c>
      <c r="M129" s="8">
        <v>34000000</v>
      </c>
    </row>
    <row r="130" spans="1:13" x14ac:dyDescent="0.3">
      <c r="A130">
        <v>11</v>
      </c>
      <c r="B130" s="8">
        <v>128</v>
      </c>
      <c r="C130" s="9" t="s">
        <v>699</v>
      </c>
      <c r="D130" s="8" t="s">
        <v>554</v>
      </c>
      <c r="E130" s="8">
        <v>240</v>
      </c>
      <c r="F130" s="8">
        <v>700</v>
      </c>
      <c r="G130" s="8">
        <v>2400</v>
      </c>
      <c r="H130" s="8">
        <v>650</v>
      </c>
      <c r="I130" s="8">
        <v>1900</v>
      </c>
      <c r="J130" s="8">
        <v>620</v>
      </c>
      <c r="K130" s="8">
        <v>0.86670000000000003</v>
      </c>
      <c r="L130" s="8">
        <v>14250</v>
      </c>
      <c r="M130" s="8">
        <v>34200000</v>
      </c>
    </row>
    <row r="131" spans="1:13" x14ac:dyDescent="0.3">
      <c r="A131">
        <v>11</v>
      </c>
      <c r="B131" s="8">
        <v>129</v>
      </c>
      <c r="C131" s="9" t="s">
        <v>700</v>
      </c>
      <c r="D131" s="8" t="s">
        <v>554</v>
      </c>
      <c r="E131" s="8">
        <v>210</v>
      </c>
      <c r="F131" s="8">
        <v>640</v>
      </c>
      <c r="G131" s="8">
        <v>2200</v>
      </c>
      <c r="H131" s="8">
        <v>800</v>
      </c>
      <c r="I131" s="8">
        <v>1900</v>
      </c>
      <c r="J131" s="8">
        <v>450</v>
      </c>
      <c r="K131" s="8">
        <v>0.88890000000000002</v>
      </c>
      <c r="L131" s="8">
        <v>17100</v>
      </c>
      <c r="M131" s="8">
        <v>37620000</v>
      </c>
    </row>
    <row r="132" spans="1:13" x14ac:dyDescent="0.3">
      <c r="A132">
        <v>11</v>
      </c>
      <c r="B132" s="8">
        <v>130</v>
      </c>
      <c r="C132" s="9" t="s">
        <v>701</v>
      </c>
      <c r="D132" s="8" t="s">
        <v>554</v>
      </c>
      <c r="E132" s="8">
        <v>255</v>
      </c>
      <c r="F132" s="8">
        <v>650</v>
      </c>
      <c r="G132" s="8">
        <v>3000</v>
      </c>
      <c r="H132" s="8">
        <v>400</v>
      </c>
      <c r="I132" s="8">
        <v>3000</v>
      </c>
      <c r="J132" s="8">
        <v>750</v>
      </c>
      <c r="K132" s="8">
        <v>0.8</v>
      </c>
      <c r="L132" s="8">
        <v>15000</v>
      </c>
      <c r="M132" s="8">
        <v>45000000</v>
      </c>
    </row>
    <row r="133" spans="1:13" x14ac:dyDescent="0.3">
      <c r="A133">
        <v>11</v>
      </c>
      <c r="B133" s="8">
        <v>131</v>
      </c>
      <c r="C133" s="9" t="s">
        <v>702</v>
      </c>
      <c r="D133" s="8" t="s">
        <v>554</v>
      </c>
      <c r="E133" s="8">
        <v>215</v>
      </c>
      <c r="F133" s="8">
        <v>670</v>
      </c>
      <c r="G133" s="8">
        <v>2150</v>
      </c>
      <c r="H133" s="8">
        <v>550</v>
      </c>
      <c r="I133" s="8">
        <v>2200</v>
      </c>
      <c r="J133" s="8">
        <v>700</v>
      </c>
      <c r="K133" s="8">
        <v>0.84619999999999995</v>
      </c>
      <c r="L133" s="8">
        <v>14300</v>
      </c>
      <c r="M133" s="8">
        <v>30745000</v>
      </c>
    </row>
    <row r="134" spans="1:13" x14ac:dyDescent="0.3">
      <c r="A134">
        <v>11</v>
      </c>
      <c r="B134" s="8">
        <v>132</v>
      </c>
      <c r="C134" s="10" t="s">
        <v>703</v>
      </c>
      <c r="D134" s="8" t="s">
        <v>561</v>
      </c>
      <c r="E134" s="8">
        <v>505</v>
      </c>
      <c r="F134" s="8">
        <v>2730</v>
      </c>
      <c r="G134" s="8">
        <v>2800</v>
      </c>
      <c r="H134" s="8">
        <v>850</v>
      </c>
      <c r="I134" s="8">
        <v>2500</v>
      </c>
      <c r="J134" s="8">
        <v>700</v>
      </c>
      <c r="K134" s="8">
        <v>0.89470000000000005</v>
      </c>
      <c r="L134" s="8">
        <v>23750</v>
      </c>
      <c r="M134" s="8">
        <v>66500000</v>
      </c>
    </row>
    <row r="135" spans="1:13" x14ac:dyDescent="0.3">
      <c r="A135">
        <v>11</v>
      </c>
      <c r="B135" s="8">
        <v>133</v>
      </c>
      <c r="C135" s="10" t="s">
        <v>704</v>
      </c>
      <c r="D135" s="8" t="s">
        <v>561</v>
      </c>
      <c r="E135" s="8">
        <v>535</v>
      </c>
      <c r="F135" s="8">
        <v>3120</v>
      </c>
      <c r="G135" s="8">
        <v>2500</v>
      </c>
      <c r="H135" s="8">
        <v>600</v>
      </c>
      <c r="I135" s="8">
        <v>2400</v>
      </c>
      <c r="J135" s="8">
        <v>660</v>
      </c>
      <c r="K135" s="8">
        <v>0.85709999999999997</v>
      </c>
      <c r="L135" s="8">
        <v>16800</v>
      </c>
      <c r="M135" s="8">
        <v>42000000</v>
      </c>
    </row>
    <row r="136" spans="1:13" x14ac:dyDescent="0.3">
      <c r="A136">
        <v>11</v>
      </c>
      <c r="B136" s="8">
        <v>134</v>
      </c>
      <c r="C136" s="10" t="s">
        <v>705</v>
      </c>
      <c r="D136" s="8" t="s">
        <v>561</v>
      </c>
      <c r="E136" s="8">
        <v>540</v>
      </c>
      <c r="F136" s="8">
        <v>2340</v>
      </c>
      <c r="G136" s="8">
        <v>2600</v>
      </c>
      <c r="H136" s="8">
        <v>900</v>
      </c>
      <c r="I136" s="8">
        <v>2800</v>
      </c>
      <c r="J136" s="8">
        <v>650</v>
      </c>
      <c r="K136" s="8">
        <v>0.9</v>
      </c>
      <c r="L136" s="8">
        <v>28000</v>
      </c>
      <c r="M136" s="8">
        <v>72800000</v>
      </c>
    </row>
    <row r="137" spans="1:13" x14ac:dyDescent="0.3">
      <c r="A137">
        <v>11</v>
      </c>
      <c r="B137" s="8">
        <v>135</v>
      </c>
      <c r="C137" s="10" t="s">
        <v>706</v>
      </c>
      <c r="D137" s="8" t="s">
        <v>561</v>
      </c>
      <c r="E137" s="8">
        <v>560</v>
      </c>
      <c r="F137" s="8">
        <v>2860</v>
      </c>
      <c r="G137" s="8">
        <v>6500</v>
      </c>
      <c r="H137" s="8">
        <v>300</v>
      </c>
      <c r="I137" s="8">
        <v>5000</v>
      </c>
      <c r="J137" s="8">
        <v>800</v>
      </c>
      <c r="K137" s="8">
        <v>0.75</v>
      </c>
      <c r="L137" s="8">
        <v>20000</v>
      </c>
      <c r="M137" s="8">
        <v>130000000</v>
      </c>
    </row>
    <row r="138" spans="1:13" x14ac:dyDescent="0.3">
      <c r="A138">
        <v>11</v>
      </c>
      <c r="B138" s="8">
        <v>136</v>
      </c>
      <c r="C138" s="10" t="s">
        <v>707</v>
      </c>
      <c r="D138" s="8" t="s">
        <v>561</v>
      </c>
      <c r="E138" s="8">
        <v>510</v>
      </c>
      <c r="F138" s="8">
        <v>2600</v>
      </c>
      <c r="G138" s="8">
        <v>3000</v>
      </c>
      <c r="H138" s="8">
        <v>650</v>
      </c>
      <c r="I138" s="8">
        <v>3200</v>
      </c>
      <c r="J138" s="8">
        <v>750</v>
      </c>
      <c r="K138" s="8">
        <v>0.86670000000000003</v>
      </c>
      <c r="L138" s="8">
        <v>24000</v>
      </c>
      <c r="M138" s="8">
        <v>72000000</v>
      </c>
    </row>
    <row r="139" spans="1:13" x14ac:dyDescent="0.3">
      <c r="A139">
        <v>11</v>
      </c>
      <c r="B139" s="8">
        <v>137</v>
      </c>
      <c r="C139" s="11" t="s">
        <v>708</v>
      </c>
      <c r="D139" s="8" t="s">
        <v>565</v>
      </c>
      <c r="E139" s="8">
        <v>1000</v>
      </c>
      <c r="F139" s="8">
        <v>7700</v>
      </c>
      <c r="G139" s="8">
        <v>4000</v>
      </c>
      <c r="H139" s="8">
        <v>980</v>
      </c>
      <c r="I139" s="8">
        <v>3600</v>
      </c>
      <c r="J139" s="8">
        <v>600</v>
      </c>
      <c r="K139" s="8">
        <v>0.90739999999999998</v>
      </c>
      <c r="L139" s="8">
        <v>38880</v>
      </c>
      <c r="M139" s="8">
        <v>155520000</v>
      </c>
    </row>
    <row r="140" spans="1:13" x14ac:dyDescent="0.3">
      <c r="A140">
        <v>11</v>
      </c>
      <c r="B140" s="8">
        <v>138</v>
      </c>
      <c r="C140" s="11" t="s">
        <v>709</v>
      </c>
      <c r="D140" s="8" t="s">
        <v>565</v>
      </c>
      <c r="E140" s="8">
        <v>1100</v>
      </c>
      <c r="F140" s="8">
        <v>8000</v>
      </c>
      <c r="G140" s="8">
        <v>4500</v>
      </c>
      <c r="H140" s="8">
        <v>360</v>
      </c>
      <c r="I140" s="8">
        <v>26000</v>
      </c>
      <c r="J140" s="8">
        <v>500</v>
      </c>
      <c r="K140" s="8">
        <v>0.78259999999999996</v>
      </c>
      <c r="L140" s="8">
        <v>119600</v>
      </c>
      <c r="M140" s="8">
        <v>538200000</v>
      </c>
    </row>
    <row r="141" spans="1:13" x14ac:dyDescent="0.3">
      <c r="A141">
        <v>11</v>
      </c>
      <c r="B141" s="8">
        <v>139</v>
      </c>
      <c r="C141" s="11" t="s">
        <v>710</v>
      </c>
      <c r="D141" s="8" t="s">
        <v>565</v>
      </c>
      <c r="E141" s="8">
        <v>1150</v>
      </c>
      <c r="F141" s="8">
        <v>8100</v>
      </c>
      <c r="G141" s="8">
        <v>5000</v>
      </c>
      <c r="H141" s="8">
        <v>1060</v>
      </c>
      <c r="I141" s="8">
        <v>3600</v>
      </c>
      <c r="J141" s="8">
        <v>750</v>
      </c>
      <c r="K141" s="8">
        <v>0.91379999999999995</v>
      </c>
      <c r="L141" s="8">
        <v>41760</v>
      </c>
      <c r="M141" s="8">
        <v>208800000</v>
      </c>
    </row>
    <row r="142" spans="1:13" x14ac:dyDescent="0.3">
      <c r="A142">
        <v>11</v>
      </c>
      <c r="B142" s="8">
        <v>140</v>
      </c>
      <c r="C142" s="11" t="s">
        <v>711</v>
      </c>
      <c r="D142" s="8" t="s">
        <v>565</v>
      </c>
      <c r="E142" s="8">
        <v>1200</v>
      </c>
      <c r="F142" s="8">
        <v>8250</v>
      </c>
      <c r="G142" s="8">
        <v>7500</v>
      </c>
      <c r="H142" s="8">
        <v>970</v>
      </c>
      <c r="I142" s="8">
        <v>3900</v>
      </c>
      <c r="J142" s="8">
        <v>800</v>
      </c>
      <c r="K142" s="8">
        <v>0.90649999999999997</v>
      </c>
      <c r="L142" s="8">
        <v>41730</v>
      </c>
      <c r="M142" s="8">
        <v>312975000</v>
      </c>
    </row>
    <row r="143" spans="1:13" x14ac:dyDescent="0.3">
      <c r="A143">
        <v>11</v>
      </c>
      <c r="B143" s="8">
        <v>141</v>
      </c>
      <c r="C143" s="11" t="s">
        <v>712</v>
      </c>
      <c r="D143" s="8" t="s">
        <v>565</v>
      </c>
      <c r="E143" s="8">
        <v>1250</v>
      </c>
      <c r="F143" s="8">
        <v>8500</v>
      </c>
      <c r="G143" s="8">
        <v>6000</v>
      </c>
      <c r="H143" s="8">
        <v>630</v>
      </c>
      <c r="I143" s="8">
        <v>12000</v>
      </c>
      <c r="J143" s="8">
        <v>600</v>
      </c>
      <c r="K143" s="8">
        <v>0.86299999999999999</v>
      </c>
      <c r="L143" s="8">
        <v>87600</v>
      </c>
      <c r="M143" s="8">
        <v>525600000</v>
      </c>
    </row>
    <row r="144" spans="1:13" x14ac:dyDescent="0.3">
      <c r="A144">
        <v>11</v>
      </c>
      <c r="B144" s="8">
        <v>142</v>
      </c>
      <c r="C144" s="11" t="s">
        <v>713</v>
      </c>
      <c r="D144" s="8" t="s">
        <v>565</v>
      </c>
      <c r="E144" s="8">
        <v>25000</v>
      </c>
      <c r="F144" s="8">
        <v>25000</v>
      </c>
      <c r="G144" s="8">
        <v>6000</v>
      </c>
      <c r="H144" s="8">
        <v>2000</v>
      </c>
      <c r="I144" s="8">
        <v>4000</v>
      </c>
      <c r="J144" s="8">
        <v>700</v>
      </c>
      <c r="K144" s="8">
        <v>0.95240000000000002</v>
      </c>
      <c r="L144" s="8">
        <v>84000</v>
      </c>
      <c r="M144" s="8">
        <v>504000000</v>
      </c>
    </row>
    <row r="145" spans="1:10" x14ac:dyDescent="0.3">
      <c r="A145" t="s">
        <v>714</v>
      </c>
      <c r="B145" s="8">
        <v>143</v>
      </c>
      <c r="C145" s="1" t="s">
        <v>715</v>
      </c>
      <c r="D145" s="1" t="s">
        <v>714</v>
      </c>
      <c r="G145" s="1">
        <v>300</v>
      </c>
      <c r="H145" s="1">
        <v>500</v>
      </c>
      <c r="I145" s="1">
        <v>1000000000</v>
      </c>
      <c r="J145" s="1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1"/>
  <sheetViews>
    <sheetView workbookViewId="0">
      <pane ySplit="1" topLeftCell="A2" activePane="bottomLeft" state="frozen"/>
      <selection pane="bottomLeft" activeCell="J1" sqref="J1"/>
    </sheetView>
  </sheetViews>
  <sheetFormatPr defaultColWidth="8.25" defaultRowHeight="14" x14ac:dyDescent="0.3"/>
  <cols>
    <col min="1" max="1" width="15.58203125" customWidth="1"/>
    <col min="2" max="2" width="22.1640625" customWidth="1"/>
    <col min="3" max="3" width="10.08203125" style="6" customWidth="1"/>
    <col min="4" max="11" width="7.33203125" customWidth="1"/>
    <col min="12" max="12" width="194.75" customWidth="1"/>
    <col min="14" max="14" width="8.1640625" customWidth="1"/>
  </cols>
  <sheetData>
    <row r="1" spans="1:12" x14ac:dyDescent="0.3">
      <c r="A1" s="7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 t="s">
        <v>11</v>
      </c>
    </row>
    <row r="2" spans="1:12" x14ac:dyDescent="0.3">
      <c r="A2" s="8" t="s">
        <v>12</v>
      </c>
      <c r="B2" s="9" t="s">
        <v>13</v>
      </c>
      <c r="C2" s="6" t="s">
        <v>14</v>
      </c>
      <c r="D2" s="8">
        <v>100</v>
      </c>
      <c r="E2" s="8">
        <v>0</v>
      </c>
      <c r="F2" s="8">
        <v>3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14"/>
    </row>
    <row r="3" spans="1:12" x14ac:dyDescent="0.3">
      <c r="A3" s="8" t="s">
        <v>15</v>
      </c>
      <c r="B3" s="10" t="s">
        <v>16</v>
      </c>
      <c r="C3" s="6" t="s">
        <v>14</v>
      </c>
      <c r="D3" s="8">
        <v>180</v>
      </c>
      <c r="E3" s="8">
        <v>0</v>
      </c>
      <c r="F3" s="8">
        <v>4</v>
      </c>
      <c r="G3" s="8">
        <v>0</v>
      </c>
      <c r="H3" s="8">
        <v>0</v>
      </c>
      <c r="I3" s="8">
        <v>1</v>
      </c>
      <c r="J3" s="8">
        <v>0</v>
      </c>
      <c r="K3" s="8">
        <v>0</v>
      </c>
      <c r="L3" s="14"/>
    </row>
    <row r="4" spans="1:12" x14ac:dyDescent="0.3">
      <c r="A4" s="8" t="s">
        <v>17</v>
      </c>
      <c r="B4" s="11" t="s">
        <v>18</v>
      </c>
      <c r="C4" s="6" t="s">
        <v>14</v>
      </c>
      <c r="D4" s="8">
        <v>320</v>
      </c>
      <c r="E4" s="8">
        <v>0</v>
      </c>
      <c r="F4" s="8">
        <v>6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14"/>
    </row>
    <row r="5" spans="1:12" x14ac:dyDescent="0.3">
      <c r="A5" s="8" t="s">
        <v>19</v>
      </c>
      <c r="B5" s="11" t="s">
        <v>20</v>
      </c>
      <c r="C5" s="6" t="s">
        <v>14</v>
      </c>
      <c r="D5" s="8">
        <v>520</v>
      </c>
      <c r="E5" s="8">
        <v>0</v>
      </c>
      <c r="F5" s="8">
        <v>8</v>
      </c>
      <c r="G5" s="8">
        <v>0</v>
      </c>
      <c r="H5" s="8">
        <v>0</v>
      </c>
      <c r="I5" s="8">
        <v>2</v>
      </c>
      <c r="J5" s="8">
        <v>2</v>
      </c>
      <c r="K5" s="8">
        <v>0</v>
      </c>
      <c r="L5" s="14"/>
    </row>
    <row r="6" spans="1:12" x14ac:dyDescent="0.3">
      <c r="A6" s="8" t="s">
        <v>21</v>
      </c>
      <c r="B6" s="9" t="s">
        <v>22</v>
      </c>
      <c r="C6" s="6" t="s">
        <v>23</v>
      </c>
      <c r="D6" s="8">
        <v>110</v>
      </c>
      <c r="E6" s="8">
        <v>10</v>
      </c>
      <c r="F6" s="8">
        <v>0</v>
      </c>
      <c r="G6" s="8">
        <v>4</v>
      </c>
      <c r="H6" s="8">
        <v>1</v>
      </c>
      <c r="I6" s="8">
        <v>0</v>
      </c>
      <c r="J6" s="8">
        <v>0</v>
      </c>
      <c r="K6" s="8">
        <v>0</v>
      </c>
      <c r="L6" s="14"/>
    </row>
    <row r="7" spans="1:12" x14ac:dyDescent="0.3">
      <c r="A7" s="8" t="s">
        <v>24</v>
      </c>
      <c r="B7" s="10" t="s">
        <v>25</v>
      </c>
      <c r="C7" s="6" t="s">
        <v>23</v>
      </c>
      <c r="D7" s="8">
        <v>200</v>
      </c>
      <c r="E7" s="8">
        <v>12</v>
      </c>
      <c r="F7" s="8">
        <v>0</v>
      </c>
      <c r="G7" s="8">
        <v>5</v>
      </c>
      <c r="H7" s="8">
        <v>2</v>
      </c>
      <c r="I7" s="8">
        <v>0</v>
      </c>
      <c r="J7" s="8">
        <v>0</v>
      </c>
      <c r="K7" s="8">
        <v>0</v>
      </c>
      <c r="L7" s="14"/>
    </row>
    <row r="8" spans="1:12" x14ac:dyDescent="0.3">
      <c r="A8" s="8" t="s">
        <v>26</v>
      </c>
      <c r="B8" s="10" t="s">
        <v>27</v>
      </c>
      <c r="C8" s="6" t="s">
        <v>23</v>
      </c>
      <c r="D8" s="8">
        <v>360</v>
      </c>
      <c r="E8" s="8">
        <v>15</v>
      </c>
      <c r="F8" s="8">
        <v>0</v>
      </c>
      <c r="G8" s="8">
        <v>8</v>
      </c>
      <c r="H8" s="8">
        <v>3</v>
      </c>
      <c r="I8" s="8">
        <v>0</v>
      </c>
      <c r="J8" s="8">
        <v>0</v>
      </c>
      <c r="K8" s="8">
        <v>0</v>
      </c>
      <c r="L8" s="14"/>
    </row>
    <row r="9" spans="1:12" x14ac:dyDescent="0.3">
      <c r="A9" s="8" t="s">
        <v>28</v>
      </c>
      <c r="B9" s="11" t="s">
        <v>29</v>
      </c>
      <c r="C9" s="6" t="s">
        <v>23</v>
      </c>
      <c r="D9" s="8">
        <v>560</v>
      </c>
      <c r="E9" s="8">
        <v>20</v>
      </c>
      <c r="F9" s="8">
        <v>0</v>
      </c>
      <c r="G9" s="8">
        <v>10</v>
      </c>
      <c r="H9" s="8">
        <v>3</v>
      </c>
      <c r="I9" s="8">
        <v>0</v>
      </c>
      <c r="J9" s="8">
        <v>0</v>
      </c>
      <c r="K9" s="8">
        <v>0</v>
      </c>
      <c r="L9" s="14"/>
    </row>
    <row r="10" spans="1:12" x14ac:dyDescent="0.3">
      <c r="A10" s="8" t="s">
        <v>30</v>
      </c>
      <c r="B10" s="9" t="s">
        <v>31</v>
      </c>
      <c r="C10" s="6" t="s">
        <v>32</v>
      </c>
      <c r="D10" s="8">
        <v>90</v>
      </c>
      <c r="E10" s="8">
        <v>5</v>
      </c>
      <c r="F10" s="8">
        <v>0</v>
      </c>
      <c r="G10" s="8">
        <v>2</v>
      </c>
      <c r="H10" s="8">
        <v>1</v>
      </c>
      <c r="I10" s="8">
        <v>0</v>
      </c>
      <c r="J10" s="8">
        <v>0</v>
      </c>
      <c r="K10" s="8">
        <v>0</v>
      </c>
      <c r="L10" s="14"/>
    </row>
    <row r="11" spans="1:12" x14ac:dyDescent="0.3">
      <c r="A11" s="8" t="s">
        <v>33</v>
      </c>
      <c r="B11" s="10" t="s">
        <v>34</v>
      </c>
      <c r="C11" s="6" t="s">
        <v>32</v>
      </c>
      <c r="D11" s="8">
        <v>160</v>
      </c>
      <c r="E11" s="8">
        <v>6</v>
      </c>
      <c r="F11" s="8">
        <v>0</v>
      </c>
      <c r="G11" s="8">
        <v>3</v>
      </c>
      <c r="H11" s="8">
        <v>2</v>
      </c>
      <c r="I11" s="8">
        <v>0</v>
      </c>
      <c r="J11" s="8">
        <v>0</v>
      </c>
      <c r="K11" s="8">
        <v>0</v>
      </c>
      <c r="L11" s="14"/>
    </row>
    <row r="12" spans="1:12" x14ac:dyDescent="0.3">
      <c r="A12" s="8" t="s">
        <v>35</v>
      </c>
      <c r="B12" s="9" t="s">
        <v>36</v>
      </c>
      <c r="C12" s="6" t="s">
        <v>32</v>
      </c>
      <c r="D12" s="8">
        <v>280</v>
      </c>
      <c r="E12" s="8">
        <v>10</v>
      </c>
      <c r="F12" s="8">
        <v>0</v>
      </c>
      <c r="G12" s="8">
        <v>4</v>
      </c>
      <c r="H12" s="8">
        <v>2</v>
      </c>
      <c r="I12" s="8">
        <v>0</v>
      </c>
      <c r="J12" s="8">
        <v>1</v>
      </c>
      <c r="K12" s="8">
        <v>0</v>
      </c>
      <c r="L12" s="14"/>
    </row>
    <row r="13" spans="1:12" x14ac:dyDescent="0.3">
      <c r="A13" s="8" t="s">
        <v>37</v>
      </c>
      <c r="B13" s="11" t="s">
        <v>38</v>
      </c>
      <c r="C13" s="6" t="s">
        <v>32</v>
      </c>
      <c r="D13" s="8">
        <v>420</v>
      </c>
      <c r="E13" s="8">
        <v>14</v>
      </c>
      <c r="F13" s="8">
        <v>0</v>
      </c>
      <c r="G13" s="8">
        <v>6</v>
      </c>
      <c r="H13" s="8">
        <v>2</v>
      </c>
      <c r="I13" s="8">
        <v>0</v>
      </c>
      <c r="J13" s="8">
        <v>0</v>
      </c>
      <c r="K13" s="8">
        <v>0</v>
      </c>
      <c r="L13" s="14"/>
    </row>
    <row r="14" spans="1:12" x14ac:dyDescent="0.3">
      <c r="A14" s="8" t="s">
        <v>39</v>
      </c>
      <c r="B14" s="9" t="s">
        <v>40</v>
      </c>
      <c r="C14" s="6" t="s">
        <v>41</v>
      </c>
      <c r="D14" s="8">
        <v>90</v>
      </c>
      <c r="E14" s="8">
        <v>0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2</v>
      </c>
      <c r="L14" s="14"/>
    </row>
    <row r="15" spans="1:12" x14ac:dyDescent="0.3">
      <c r="A15" s="8" t="s">
        <v>42</v>
      </c>
      <c r="B15" s="11" t="s">
        <v>43</v>
      </c>
      <c r="C15" s="6" t="s">
        <v>41</v>
      </c>
      <c r="D15" s="8">
        <v>170</v>
      </c>
      <c r="E15" s="8">
        <v>0</v>
      </c>
      <c r="F15" s="8">
        <v>0</v>
      </c>
      <c r="G15" s="8">
        <v>2</v>
      </c>
      <c r="H15" s="8">
        <v>1</v>
      </c>
      <c r="I15" s="8">
        <v>0</v>
      </c>
      <c r="J15" s="8">
        <v>0</v>
      </c>
      <c r="K15" s="8">
        <v>3</v>
      </c>
      <c r="L15" s="14"/>
    </row>
    <row r="16" spans="1:12" x14ac:dyDescent="0.3">
      <c r="A16" s="8" t="s">
        <v>44</v>
      </c>
      <c r="B16" s="10" t="s">
        <v>45</v>
      </c>
      <c r="C16" s="6" t="s">
        <v>41</v>
      </c>
      <c r="D16" s="8">
        <v>300</v>
      </c>
      <c r="E16" s="8">
        <v>0</v>
      </c>
      <c r="F16" s="8">
        <v>0</v>
      </c>
      <c r="G16" s="8">
        <v>3</v>
      </c>
      <c r="H16" s="8">
        <v>2</v>
      </c>
      <c r="I16" s="8">
        <v>0</v>
      </c>
      <c r="J16" s="8">
        <v>0</v>
      </c>
      <c r="K16" s="8">
        <v>4</v>
      </c>
      <c r="L16" s="14"/>
    </row>
    <row r="17" spans="1:12" x14ac:dyDescent="0.3">
      <c r="A17" s="8" t="s">
        <v>46</v>
      </c>
      <c r="B17" s="10" t="s">
        <v>47</v>
      </c>
      <c r="C17" s="6" t="s">
        <v>41</v>
      </c>
      <c r="D17" s="8">
        <v>460</v>
      </c>
      <c r="E17" s="8">
        <v>0</v>
      </c>
      <c r="F17" s="8">
        <v>0</v>
      </c>
      <c r="G17" s="8">
        <v>5</v>
      </c>
      <c r="H17" s="8">
        <v>3</v>
      </c>
      <c r="I17" s="8">
        <v>0</v>
      </c>
      <c r="J17" s="8">
        <v>0</v>
      </c>
      <c r="K17" s="8">
        <v>2</v>
      </c>
      <c r="L17" s="14"/>
    </row>
    <row r="18" spans="1:12" x14ac:dyDescent="0.3">
      <c r="A18" s="8" t="s">
        <v>48</v>
      </c>
      <c r="B18" s="10" t="s">
        <v>49</v>
      </c>
      <c r="C18" s="6" t="s">
        <v>50</v>
      </c>
      <c r="D18" s="8">
        <v>220</v>
      </c>
      <c r="E18" s="8">
        <v>0</v>
      </c>
      <c r="F18" s="8">
        <v>3</v>
      </c>
      <c r="G18" s="8">
        <v>0</v>
      </c>
      <c r="H18" s="8">
        <v>2</v>
      </c>
      <c r="I18" s="8">
        <v>2</v>
      </c>
      <c r="J18" s="8">
        <v>0</v>
      </c>
      <c r="K18" s="8">
        <v>0</v>
      </c>
      <c r="L18" s="14"/>
    </row>
    <row r="19" spans="1:12" x14ac:dyDescent="0.3">
      <c r="A19" s="8" t="s">
        <v>51</v>
      </c>
      <c r="B19" s="10" t="s">
        <v>52</v>
      </c>
      <c r="C19" s="6" t="s">
        <v>50</v>
      </c>
      <c r="D19" s="8">
        <v>220</v>
      </c>
      <c r="E19" s="8">
        <v>14</v>
      </c>
      <c r="F19" s="8">
        <v>0</v>
      </c>
      <c r="G19" s="8">
        <v>2</v>
      </c>
      <c r="H19" s="8">
        <v>2</v>
      </c>
      <c r="I19" s="8">
        <v>0</v>
      </c>
      <c r="J19" s="8">
        <v>0</v>
      </c>
      <c r="K19" s="8">
        <v>0</v>
      </c>
      <c r="L19" s="14"/>
    </row>
    <row r="20" spans="1:12" x14ac:dyDescent="0.3">
      <c r="A20" s="8" t="s">
        <v>53</v>
      </c>
      <c r="B20" s="11" t="s">
        <v>54</v>
      </c>
      <c r="C20" s="6" t="s">
        <v>50</v>
      </c>
      <c r="D20" s="8">
        <v>420</v>
      </c>
      <c r="E20" s="8">
        <v>10</v>
      </c>
      <c r="F20" s="8">
        <v>2</v>
      </c>
      <c r="G20" s="8">
        <v>0</v>
      </c>
      <c r="H20" s="8">
        <v>4</v>
      </c>
      <c r="I20" s="8">
        <v>0</v>
      </c>
      <c r="J20" s="8">
        <v>0</v>
      </c>
      <c r="K20" s="8">
        <v>1</v>
      </c>
      <c r="L20" s="14"/>
    </row>
    <row r="21" spans="1:12" s="3" customFormat="1" x14ac:dyDescent="0.3">
      <c r="A21" s="8" t="s">
        <v>55</v>
      </c>
      <c r="B21" s="15" t="s">
        <v>56</v>
      </c>
      <c r="C21" s="6" t="s">
        <v>50</v>
      </c>
      <c r="D21" s="8">
        <v>1000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  <c r="J21" s="8">
        <v>3</v>
      </c>
      <c r="K21" s="8">
        <v>3</v>
      </c>
      <c r="L21" s="14"/>
    </row>
    <row r="22" spans="1:12" s="4" customFormat="1" x14ac:dyDescent="0.3">
      <c r="A22" s="8" t="s">
        <v>57</v>
      </c>
      <c r="B22" s="16" t="s">
        <v>58</v>
      </c>
      <c r="C22" s="6" t="s">
        <v>14</v>
      </c>
      <c r="D22" s="8">
        <v>3000</v>
      </c>
      <c r="E22" s="8">
        <v>10</v>
      </c>
      <c r="F22" s="8">
        <v>18</v>
      </c>
      <c r="G22" s="8">
        <v>7</v>
      </c>
      <c r="H22" s="8">
        <v>0</v>
      </c>
      <c r="I22" s="8">
        <v>10</v>
      </c>
      <c r="J22" s="8">
        <v>6</v>
      </c>
      <c r="K22" s="8">
        <v>0</v>
      </c>
      <c r="L22" s="14" t="s">
        <v>59</v>
      </c>
    </row>
    <row r="23" spans="1:12" x14ac:dyDescent="0.3">
      <c r="A23" s="8" t="s">
        <v>60</v>
      </c>
      <c r="B23" s="17" t="s">
        <v>61</v>
      </c>
      <c r="C23" s="6" t="s">
        <v>14</v>
      </c>
      <c r="D23" s="8">
        <v>600</v>
      </c>
      <c r="E23" s="8">
        <v>0</v>
      </c>
      <c r="F23" s="8">
        <v>9</v>
      </c>
      <c r="G23" s="8">
        <v>0</v>
      </c>
      <c r="H23" s="8">
        <v>1</v>
      </c>
      <c r="I23" s="8">
        <v>3</v>
      </c>
      <c r="J23" s="8">
        <v>2</v>
      </c>
      <c r="K23" s="8">
        <v>3</v>
      </c>
      <c r="L23" s="14"/>
    </row>
    <row r="24" spans="1:12" x14ac:dyDescent="0.3">
      <c r="A24" s="8" t="s">
        <v>62</v>
      </c>
      <c r="B24" s="9" t="s">
        <v>63</v>
      </c>
      <c r="C24" s="6" t="s">
        <v>14</v>
      </c>
      <c r="D24" s="8">
        <v>650</v>
      </c>
      <c r="E24" s="8">
        <v>5</v>
      </c>
      <c r="F24" s="8">
        <v>11</v>
      </c>
      <c r="G24" s="8">
        <v>2</v>
      </c>
      <c r="H24" s="8">
        <v>3</v>
      </c>
      <c r="I24" s="8">
        <v>2</v>
      </c>
      <c r="J24" s="8">
        <v>0</v>
      </c>
      <c r="K24" s="8">
        <v>1</v>
      </c>
      <c r="L24" s="14"/>
    </row>
    <row r="25" spans="1:12" x14ac:dyDescent="0.3">
      <c r="A25" s="8" t="s">
        <v>64</v>
      </c>
      <c r="B25" s="9" t="s">
        <v>65</v>
      </c>
      <c r="C25" s="6" t="s">
        <v>23</v>
      </c>
      <c r="D25" s="8">
        <v>800</v>
      </c>
      <c r="E25" s="8">
        <v>24</v>
      </c>
      <c r="F25" s="8">
        <v>0</v>
      </c>
      <c r="G25" s="8">
        <v>12</v>
      </c>
      <c r="H25" s="8">
        <v>2</v>
      </c>
      <c r="I25" s="8">
        <v>0</v>
      </c>
      <c r="J25" s="8">
        <v>0</v>
      </c>
      <c r="K25" s="8">
        <v>1</v>
      </c>
      <c r="L25" s="14"/>
    </row>
    <row r="26" spans="1:12" x14ac:dyDescent="0.3">
      <c r="A26" s="8" t="s">
        <v>66</v>
      </c>
      <c r="B26" s="9" t="s">
        <v>67</v>
      </c>
      <c r="C26" s="6" t="s">
        <v>32</v>
      </c>
      <c r="D26" s="8">
        <v>600</v>
      </c>
      <c r="E26" s="8">
        <v>15</v>
      </c>
      <c r="F26" s="8">
        <v>2</v>
      </c>
      <c r="G26" s="8">
        <v>6</v>
      </c>
      <c r="H26" s="8">
        <v>4</v>
      </c>
      <c r="I26" s="8">
        <v>0</v>
      </c>
      <c r="J26" s="8">
        <v>1</v>
      </c>
      <c r="K26" s="8">
        <v>2</v>
      </c>
      <c r="L26" s="14"/>
    </row>
    <row r="27" spans="1:12" s="3" customFormat="1" x14ac:dyDescent="0.3">
      <c r="A27" s="8" t="s">
        <v>68</v>
      </c>
      <c r="B27" s="9" t="s">
        <v>69</v>
      </c>
      <c r="C27" s="6" t="s">
        <v>41</v>
      </c>
      <c r="D27" s="8">
        <v>1000</v>
      </c>
      <c r="E27" s="8">
        <v>5</v>
      </c>
      <c r="F27" s="8">
        <v>2</v>
      </c>
      <c r="G27" s="8">
        <v>6</v>
      </c>
      <c r="H27" s="8">
        <v>3</v>
      </c>
      <c r="I27" s="8">
        <v>3</v>
      </c>
      <c r="J27" s="8">
        <v>1</v>
      </c>
      <c r="K27" s="8">
        <v>4</v>
      </c>
      <c r="L27" s="14"/>
    </row>
    <row r="28" spans="1:12" s="3" customFormat="1" x14ac:dyDescent="0.3">
      <c r="A28" s="8" t="s">
        <v>70</v>
      </c>
      <c r="B28" s="11" t="s">
        <v>71</v>
      </c>
      <c r="C28" s="6" t="s">
        <v>50</v>
      </c>
      <c r="D28" s="8">
        <v>1200</v>
      </c>
      <c r="E28" s="8">
        <v>8</v>
      </c>
      <c r="F28" s="8">
        <v>4</v>
      </c>
      <c r="G28" s="8">
        <v>4</v>
      </c>
      <c r="H28" s="8">
        <v>6</v>
      </c>
      <c r="I28" s="8">
        <v>2</v>
      </c>
      <c r="J28" s="8">
        <v>2</v>
      </c>
      <c r="K28" s="8">
        <v>5</v>
      </c>
      <c r="L28" s="14"/>
    </row>
    <row r="29" spans="1:12" x14ac:dyDescent="0.3">
      <c r="A29" s="8" t="s">
        <v>72</v>
      </c>
      <c r="B29" s="11" t="s">
        <v>73</v>
      </c>
      <c r="C29" s="6" t="s">
        <v>14</v>
      </c>
      <c r="D29" s="8">
        <v>1600</v>
      </c>
      <c r="E29" s="8">
        <v>0</v>
      </c>
      <c r="F29" s="8">
        <v>20</v>
      </c>
      <c r="G29" s="8">
        <v>0</v>
      </c>
      <c r="H29" s="8">
        <v>0</v>
      </c>
      <c r="I29" s="8">
        <v>7</v>
      </c>
      <c r="J29" s="8">
        <v>5</v>
      </c>
      <c r="K29" s="8">
        <v>6</v>
      </c>
      <c r="L29" s="14"/>
    </row>
    <row r="30" spans="1:12" x14ac:dyDescent="0.3">
      <c r="A30" s="8" t="s">
        <v>74</v>
      </c>
      <c r="B30" s="10" t="s">
        <v>75</v>
      </c>
      <c r="C30" s="6" t="s">
        <v>50</v>
      </c>
      <c r="D30" s="8">
        <v>1100</v>
      </c>
      <c r="E30" s="8">
        <v>5</v>
      </c>
      <c r="F30" s="8">
        <v>0</v>
      </c>
      <c r="G30" s="8">
        <v>5</v>
      </c>
      <c r="H30" s="8">
        <v>5</v>
      </c>
      <c r="I30" s="8">
        <v>0</v>
      </c>
      <c r="J30" s="8">
        <v>0</v>
      </c>
      <c r="K30" s="8">
        <v>0</v>
      </c>
      <c r="L30" s="14"/>
    </row>
    <row r="31" spans="1:12" s="4" customFormat="1" x14ac:dyDescent="0.3">
      <c r="A31" s="8" t="s">
        <v>76</v>
      </c>
      <c r="B31" s="16" t="s">
        <v>77</v>
      </c>
      <c r="C31" s="6" t="s">
        <v>32</v>
      </c>
      <c r="D31" s="8">
        <v>1000</v>
      </c>
      <c r="E31" s="8">
        <v>10</v>
      </c>
      <c r="F31" s="8">
        <v>4</v>
      </c>
      <c r="G31" s="8">
        <v>5</v>
      </c>
      <c r="H31" s="8">
        <v>8</v>
      </c>
      <c r="I31" s="8">
        <v>6</v>
      </c>
      <c r="J31" s="8">
        <v>6</v>
      </c>
      <c r="K31" s="8">
        <v>10</v>
      </c>
      <c r="L31" s="14" t="s">
        <v>78</v>
      </c>
    </row>
    <row r="32" spans="1:12" s="5" customFormat="1" x14ac:dyDescent="0.3">
      <c r="A32" s="8" t="s">
        <v>79</v>
      </c>
      <c r="B32" s="10" t="s">
        <v>80</v>
      </c>
      <c r="C32" s="6" t="s">
        <v>14</v>
      </c>
      <c r="D32" s="8">
        <v>1500</v>
      </c>
      <c r="E32" s="8">
        <v>0</v>
      </c>
      <c r="F32" s="8">
        <v>14</v>
      </c>
      <c r="G32" s="8">
        <v>0</v>
      </c>
      <c r="H32" s="8">
        <v>3</v>
      </c>
      <c r="I32" s="8">
        <v>3</v>
      </c>
      <c r="J32" s="8">
        <v>6</v>
      </c>
      <c r="K32" s="8">
        <v>12</v>
      </c>
      <c r="L32" s="14"/>
    </row>
    <row r="33" spans="1:12" s="3" customFormat="1" x14ac:dyDescent="0.3">
      <c r="A33" s="8" t="s">
        <v>81</v>
      </c>
      <c r="B33" s="11" t="s">
        <v>82</v>
      </c>
      <c r="C33" s="6" t="s">
        <v>23</v>
      </c>
      <c r="D33" s="8">
        <v>1000</v>
      </c>
      <c r="E33" s="8">
        <v>26</v>
      </c>
      <c r="F33" s="8">
        <v>0</v>
      </c>
      <c r="G33" s="8">
        <v>14</v>
      </c>
      <c r="H33" s="8">
        <v>1</v>
      </c>
      <c r="I33" s="8">
        <v>1</v>
      </c>
      <c r="J33" s="8">
        <v>1</v>
      </c>
      <c r="K33" s="8">
        <v>2</v>
      </c>
      <c r="L33" s="14"/>
    </row>
    <row r="34" spans="1:12" s="3" customFormat="1" x14ac:dyDescent="0.3">
      <c r="A34" s="8" t="s">
        <v>83</v>
      </c>
      <c r="B34" s="11" t="s">
        <v>84</v>
      </c>
      <c r="C34" s="6" t="s">
        <v>14</v>
      </c>
      <c r="D34" s="8">
        <v>800</v>
      </c>
      <c r="E34" s="8">
        <v>0</v>
      </c>
      <c r="F34" s="8">
        <v>12</v>
      </c>
      <c r="G34" s="8">
        <v>0</v>
      </c>
      <c r="H34" s="8">
        <v>1</v>
      </c>
      <c r="I34" s="8">
        <v>5</v>
      </c>
      <c r="J34" s="8">
        <v>3</v>
      </c>
      <c r="K34" s="8">
        <v>8</v>
      </c>
      <c r="L34" s="14"/>
    </row>
    <row r="35" spans="1:12" s="3" customFormat="1" x14ac:dyDescent="0.3">
      <c r="A35" s="8" t="s">
        <v>85</v>
      </c>
      <c r="B35" s="11" t="s">
        <v>86</v>
      </c>
      <c r="C35" s="6" t="s">
        <v>14</v>
      </c>
      <c r="D35" s="8">
        <v>1400</v>
      </c>
      <c r="E35" s="8">
        <v>0</v>
      </c>
      <c r="F35" s="8">
        <v>16</v>
      </c>
      <c r="G35" s="8">
        <v>2</v>
      </c>
      <c r="H35" s="8">
        <v>0</v>
      </c>
      <c r="I35" s="8">
        <v>4</v>
      </c>
      <c r="J35" s="8">
        <v>3</v>
      </c>
      <c r="K35" s="8">
        <v>2</v>
      </c>
      <c r="L35" s="14"/>
    </row>
    <row r="36" spans="1:12" s="3" customFormat="1" x14ac:dyDescent="0.3">
      <c r="A36" s="8" t="s">
        <v>87</v>
      </c>
      <c r="B36" s="11" t="s">
        <v>88</v>
      </c>
      <c r="C36" s="6" t="s">
        <v>23</v>
      </c>
      <c r="D36" s="8">
        <v>1300</v>
      </c>
      <c r="E36" s="8">
        <v>30</v>
      </c>
      <c r="F36" s="8">
        <v>0</v>
      </c>
      <c r="G36" s="8">
        <v>18</v>
      </c>
      <c r="H36" s="8">
        <v>2</v>
      </c>
      <c r="I36" s="8">
        <v>2</v>
      </c>
      <c r="J36" s="8">
        <v>0</v>
      </c>
      <c r="K36" s="8">
        <v>1</v>
      </c>
      <c r="L36" s="14"/>
    </row>
    <row r="37" spans="1:12" s="3" customFormat="1" x14ac:dyDescent="0.3">
      <c r="A37" s="8" t="s">
        <v>89</v>
      </c>
      <c r="B37" s="11" t="s">
        <v>90</v>
      </c>
      <c r="C37" s="6" t="s">
        <v>23</v>
      </c>
      <c r="D37" s="8">
        <v>2000</v>
      </c>
      <c r="E37" s="8">
        <v>30</v>
      </c>
      <c r="F37" s="8">
        <v>4</v>
      </c>
      <c r="G37" s="8">
        <v>16</v>
      </c>
      <c r="H37" s="8">
        <v>5</v>
      </c>
      <c r="I37" s="8">
        <v>3</v>
      </c>
      <c r="J37" s="8">
        <v>3</v>
      </c>
      <c r="K37" s="8">
        <v>9</v>
      </c>
      <c r="L37" s="14"/>
    </row>
    <row r="38" spans="1:12" s="3" customFormat="1" x14ac:dyDescent="0.3">
      <c r="A38" s="8" t="s">
        <v>91</v>
      </c>
      <c r="B38" s="11" t="s">
        <v>92</v>
      </c>
      <c r="C38" s="6" t="s">
        <v>14</v>
      </c>
      <c r="D38" s="8">
        <v>1700</v>
      </c>
      <c r="E38" s="8">
        <v>0</v>
      </c>
      <c r="F38" s="8">
        <v>18</v>
      </c>
      <c r="G38" s="8">
        <v>0</v>
      </c>
      <c r="H38" s="8">
        <v>0</v>
      </c>
      <c r="I38" s="8">
        <v>6</v>
      </c>
      <c r="J38" s="8">
        <v>4</v>
      </c>
      <c r="K38" s="8">
        <v>12</v>
      </c>
      <c r="L38" s="14"/>
    </row>
    <row r="39" spans="1:12" s="3" customFormat="1" x14ac:dyDescent="0.3">
      <c r="A39" s="8" t="s">
        <v>93</v>
      </c>
      <c r="B39" s="11" t="s">
        <v>94</v>
      </c>
      <c r="C39" s="6" t="s">
        <v>23</v>
      </c>
      <c r="D39" s="8">
        <v>500</v>
      </c>
      <c r="E39" s="8">
        <v>15</v>
      </c>
      <c r="F39" s="8">
        <v>0</v>
      </c>
      <c r="G39" s="8">
        <v>5</v>
      </c>
      <c r="H39" s="8">
        <v>0</v>
      </c>
      <c r="I39" s="8">
        <v>0</v>
      </c>
      <c r="J39" s="8">
        <v>0</v>
      </c>
      <c r="K39" s="8">
        <v>2</v>
      </c>
      <c r="L39" s="14"/>
    </row>
    <row r="40" spans="1:12" x14ac:dyDescent="0.3">
      <c r="A40" s="8" t="s">
        <v>95</v>
      </c>
      <c r="B40" s="11" t="s">
        <v>96</v>
      </c>
      <c r="C40" s="6" t="s">
        <v>14</v>
      </c>
      <c r="D40" s="8">
        <v>1650</v>
      </c>
      <c r="E40" s="8">
        <v>0</v>
      </c>
      <c r="F40" s="8">
        <v>16</v>
      </c>
      <c r="G40" s="8">
        <v>2</v>
      </c>
      <c r="H40" s="8">
        <v>4</v>
      </c>
      <c r="I40" s="8">
        <v>2</v>
      </c>
      <c r="J40" s="8">
        <v>1</v>
      </c>
      <c r="K40" s="8">
        <v>5</v>
      </c>
      <c r="L40" s="14"/>
    </row>
    <row r="41" spans="1:12" x14ac:dyDescent="0.3">
      <c r="A41" s="8" t="s">
        <v>97</v>
      </c>
      <c r="B41" s="11" t="s">
        <v>98</v>
      </c>
      <c r="C41" s="6" t="s">
        <v>32</v>
      </c>
      <c r="D41" s="8">
        <v>800</v>
      </c>
      <c r="E41" s="8">
        <v>17</v>
      </c>
      <c r="F41" s="8">
        <v>2</v>
      </c>
      <c r="G41" s="8">
        <v>7</v>
      </c>
      <c r="H41" s="8">
        <v>5</v>
      </c>
      <c r="I41" s="8">
        <v>1</v>
      </c>
      <c r="J41" s="8">
        <v>1</v>
      </c>
      <c r="K41" s="8">
        <v>3</v>
      </c>
      <c r="L41" s="14"/>
    </row>
    <row r="42" spans="1:12" x14ac:dyDescent="0.3">
      <c r="A42" s="8" t="s">
        <v>99</v>
      </c>
      <c r="B42" s="9" t="s">
        <v>100</v>
      </c>
      <c r="C42" s="6" t="s">
        <v>14</v>
      </c>
      <c r="D42" s="8">
        <v>900</v>
      </c>
      <c r="E42" s="8">
        <v>8</v>
      </c>
      <c r="F42" s="8">
        <v>8</v>
      </c>
      <c r="G42" s="8">
        <v>8</v>
      </c>
      <c r="H42" s="8">
        <v>8</v>
      </c>
      <c r="I42" s="8">
        <v>8</v>
      </c>
      <c r="J42" s="8">
        <v>4</v>
      </c>
      <c r="K42" s="8">
        <v>8</v>
      </c>
      <c r="L42" s="14"/>
    </row>
    <row r="43" spans="1:12" x14ac:dyDescent="0.3">
      <c r="A43" s="8" t="s">
        <v>101</v>
      </c>
      <c r="B43" s="9" t="s">
        <v>102</v>
      </c>
      <c r="C43" s="6" t="s">
        <v>23</v>
      </c>
      <c r="D43" s="8">
        <v>900</v>
      </c>
      <c r="E43" s="8">
        <v>35</v>
      </c>
      <c r="F43" s="8">
        <v>0</v>
      </c>
      <c r="G43" s="8">
        <v>16</v>
      </c>
      <c r="H43" s="8">
        <v>0</v>
      </c>
      <c r="I43" s="8">
        <v>0</v>
      </c>
      <c r="J43" s="8">
        <v>0</v>
      </c>
      <c r="K43" s="8">
        <v>0</v>
      </c>
      <c r="L43" s="14"/>
    </row>
    <row r="44" spans="1:12" x14ac:dyDescent="0.3">
      <c r="A44" s="8" t="s">
        <v>103</v>
      </c>
      <c r="B44" s="9" t="s">
        <v>104</v>
      </c>
      <c r="C44" s="6" t="s">
        <v>50</v>
      </c>
      <c r="D44" s="8">
        <v>1000</v>
      </c>
      <c r="E44" s="8">
        <v>3</v>
      </c>
      <c r="F44" s="8">
        <v>0</v>
      </c>
      <c r="G44" s="8">
        <v>8</v>
      </c>
      <c r="H44" s="8">
        <v>0</v>
      </c>
      <c r="I44" s="8">
        <v>0</v>
      </c>
      <c r="J44" s="8">
        <v>0</v>
      </c>
      <c r="K44" s="8">
        <v>0</v>
      </c>
      <c r="L44" s="14"/>
    </row>
    <row r="45" spans="1:12" x14ac:dyDescent="0.3">
      <c r="A45" s="8" t="s">
        <v>105</v>
      </c>
      <c r="B45" s="9" t="s">
        <v>106</v>
      </c>
      <c r="C45" s="6" t="s">
        <v>14</v>
      </c>
      <c r="D45" s="8">
        <v>900</v>
      </c>
      <c r="E45" s="8">
        <v>10</v>
      </c>
      <c r="F45" s="8">
        <v>12</v>
      </c>
      <c r="G45" s="8">
        <v>0</v>
      </c>
      <c r="H45" s="8">
        <v>0</v>
      </c>
      <c r="I45" s="8">
        <v>5</v>
      </c>
      <c r="J45" s="8">
        <v>3</v>
      </c>
      <c r="K45" s="8">
        <v>0</v>
      </c>
      <c r="L45" s="14"/>
    </row>
    <row r="46" spans="1:12" s="5" customFormat="1" x14ac:dyDescent="0.3">
      <c r="A46" s="8" t="s">
        <v>107</v>
      </c>
      <c r="B46" s="10" t="s">
        <v>108</v>
      </c>
      <c r="C46" s="6" t="s">
        <v>23</v>
      </c>
      <c r="D46" s="8">
        <v>1400</v>
      </c>
      <c r="E46" s="8">
        <v>42</v>
      </c>
      <c r="F46" s="8">
        <v>5</v>
      </c>
      <c r="G46" s="8">
        <v>12</v>
      </c>
      <c r="H46" s="8">
        <v>3</v>
      </c>
      <c r="I46" s="8">
        <v>3</v>
      </c>
      <c r="J46" s="8">
        <v>0</v>
      </c>
      <c r="K46" s="8">
        <v>6</v>
      </c>
      <c r="L46" s="14"/>
    </row>
    <row r="47" spans="1:12" s="5" customFormat="1" x14ac:dyDescent="0.3">
      <c r="A47" s="8" t="s">
        <v>109</v>
      </c>
      <c r="B47" s="10" t="s">
        <v>110</v>
      </c>
      <c r="C47" s="6" t="s">
        <v>14</v>
      </c>
      <c r="D47" s="8">
        <v>900</v>
      </c>
      <c r="E47" s="8">
        <v>0</v>
      </c>
      <c r="F47" s="8">
        <v>18</v>
      </c>
      <c r="G47" s="8">
        <v>0</v>
      </c>
      <c r="H47" s="8">
        <v>0</v>
      </c>
      <c r="I47" s="8">
        <v>8</v>
      </c>
      <c r="J47" s="8">
        <v>3</v>
      </c>
      <c r="K47" s="8">
        <v>6</v>
      </c>
      <c r="L47" s="14"/>
    </row>
    <row r="48" spans="1:12" s="3" customFormat="1" x14ac:dyDescent="0.3">
      <c r="A48" s="8" t="s">
        <v>111</v>
      </c>
      <c r="B48" s="11" t="s">
        <v>112</v>
      </c>
      <c r="C48" s="6" t="s">
        <v>23</v>
      </c>
      <c r="D48" s="8">
        <v>1900</v>
      </c>
      <c r="E48" s="8">
        <v>60</v>
      </c>
      <c r="F48" s="8">
        <v>0</v>
      </c>
      <c r="G48" s="8">
        <v>24</v>
      </c>
      <c r="H48" s="8">
        <v>0</v>
      </c>
      <c r="I48" s="8">
        <v>3</v>
      </c>
      <c r="J48" s="8">
        <v>0</v>
      </c>
      <c r="K48" s="8">
        <v>0</v>
      </c>
      <c r="L48" s="14" t="s">
        <v>113</v>
      </c>
    </row>
    <row r="49" spans="1:12" s="3" customFormat="1" x14ac:dyDescent="0.3">
      <c r="A49" s="8" t="s">
        <v>114</v>
      </c>
      <c r="B49" s="11" t="s">
        <v>115</v>
      </c>
      <c r="C49" s="6" t="s">
        <v>14</v>
      </c>
      <c r="D49" s="8">
        <v>2200</v>
      </c>
      <c r="E49" s="8">
        <v>0</v>
      </c>
      <c r="F49" s="8">
        <v>25</v>
      </c>
      <c r="G49" s="8">
        <v>0</v>
      </c>
      <c r="H49" s="8">
        <v>0</v>
      </c>
      <c r="I49" s="8">
        <v>10</v>
      </c>
      <c r="J49" s="8">
        <v>5</v>
      </c>
      <c r="K49" s="8">
        <v>8</v>
      </c>
      <c r="L49" s="14" t="s">
        <v>116</v>
      </c>
    </row>
    <row r="50" spans="1:12" s="4" customFormat="1" x14ac:dyDescent="0.3">
      <c r="A50" s="8" t="s">
        <v>117</v>
      </c>
      <c r="B50" s="16" t="s">
        <v>118</v>
      </c>
      <c r="C50" s="6" t="s">
        <v>41</v>
      </c>
      <c r="D50" s="8">
        <v>3000</v>
      </c>
      <c r="E50" s="8">
        <v>24</v>
      </c>
      <c r="F50" s="8">
        <v>0</v>
      </c>
      <c r="G50" s="8">
        <v>12</v>
      </c>
      <c r="H50" s="8">
        <v>8</v>
      </c>
      <c r="I50" s="8">
        <v>5</v>
      </c>
      <c r="J50" s="8">
        <v>1</v>
      </c>
      <c r="K50" s="8">
        <v>3</v>
      </c>
      <c r="L50" s="14" t="s">
        <v>119</v>
      </c>
    </row>
    <row r="51" spans="1:12" s="3" customFormat="1" x14ac:dyDescent="0.3">
      <c r="A51" s="8" t="s">
        <v>120</v>
      </c>
      <c r="B51" s="11" t="s">
        <v>121</v>
      </c>
      <c r="C51" s="6" t="s">
        <v>50</v>
      </c>
      <c r="D51" s="8">
        <v>2000</v>
      </c>
      <c r="E51" s="8">
        <v>0</v>
      </c>
      <c r="F51" s="8">
        <v>8</v>
      </c>
      <c r="G51" s="8">
        <v>0</v>
      </c>
      <c r="H51" s="8">
        <v>6</v>
      </c>
      <c r="I51" s="8">
        <v>4</v>
      </c>
      <c r="J51" s="8">
        <v>6</v>
      </c>
      <c r="K51" s="8">
        <v>6</v>
      </c>
      <c r="L51" s="14" t="s">
        <v>116</v>
      </c>
    </row>
    <row r="52" spans="1:12" s="3" customFormat="1" x14ac:dyDescent="0.3">
      <c r="A52" s="8" t="s">
        <v>122</v>
      </c>
      <c r="B52" s="11" t="s">
        <v>123</v>
      </c>
      <c r="C52" s="6" t="s">
        <v>14</v>
      </c>
      <c r="D52" s="8">
        <v>2300</v>
      </c>
      <c r="E52" s="8">
        <v>10</v>
      </c>
      <c r="F52" s="8">
        <v>20</v>
      </c>
      <c r="G52" s="8">
        <v>8</v>
      </c>
      <c r="H52" s="8">
        <v>0</v>
      </c>
      <c r="I52" s="8">
        <v>10</v>
      </c>
      <c r="J52" s="8">
        <v>2</v>
      </c>
      <c r="K52" s="8">
        <v>0</v>
      </c>
      <c r="L52" s="14" t="s">
        <v>113</v>
      </c>
    </row>
    <row r="53" spans="1:12" s="5" customFormat="1" x14ac:dyDescent="0.3">
      <c r="A53" s="8" t="s">
        <v>124</v>
      </c>
      <c r="B53" s="10" t="s">
        <v>125</v>
      </c>
      <c r="C53" s="6" t="s">
        <v>14</v>
      </c>
      <c r="D53" s="8">
        <v>1900</v>
      </c>
      <c r="E53" s="8">
        <v>0</v>
      </c>
      <c r="F53" s="8">
        <v>20</v>
      </c>
      <c r="G53" s="8">
        <v>0</v>
      </c>
      <c r="H53" s="8">
        <v>0</v>
      </c>
      <c r="I53" s="8">
        <v>8</v>
      </c>
      <c r="J53" s="8">
        <v>4</v>
      </c>
      <c r="K53" s="8">
        <v>6</v>
      </c>
      <c r="L53" s="14"/>
    </row>
    <row r="54" spans="1:12" s="5" customFormat="1" x14ac:dyDescent="0.3">
      <c r="A54" s="8" t="s">
        <v>126</v>
      </c>
      <c r="B54" s="10" t="s">
        <v>127</v>
      </c>
      <c r="C54" s="6" t="s">
        <v>32</v>
      </c>
      <c r="D54" s="8">
        <v>1500</v>
      </c>
      <c r="E54" s="8">
        <v>18</v>
      </c>
      <c r="F54" s="8">
        <v>2</v>
      </c>
      <c r="G54" s="8">
        <v>8</v>
      </c>
      <c r="H54" s="8">
        <v>3</v>
      </c>
      <c r="I54" s="8">
        <v>3</v>
      </c>
      <c r="J54" s="8">
        <v>2</v>
      </c>
      <c r="K54" s="8">
        <v>1</v>
      </c>
      <c r="L54" s="14" t="s">
        <v>113</v>
      </c>
    </row>
    <row r="55" spans="1:12" x14ac:dyDescent="0.3">
      <c r="A55" s="8" t="s">
        <v>128</v>
      </c>
      <c r="B55" s="17" t="s">
        <v>129</v>
      </c>
      <c r="C55" s="6" t="s">
        <v>32</v>
      </c>
      <c r="D55" s="8">
        <v>1700</v>
      </c>
      <c r="E55" s="8">
        <v>12</v>
      </c>
      <c r="F55" s="8">
        <v>3</v>
      </c>
      <c r="G55" s="8">
        <v>6</v>
      </c>
      <c r="H55" s="8">
        <v>8</v>
      </c>
      <c r="I55" s="8">
        <v>3</v>
      </c>
      <c r="J55" s="8">
        <v>3</v>
      </c>
      <c r="K55" s="8">
        <v>4</v>
      </c>
      <c r="L55" s="14"/>
    </row>
    <row r="56" spans="1:12" x14ac:dyDescent="0.3">
      <c r="A56" s="8" t="s">
        <v>130</v>
      </c>
      <c r="B56" s="9" t="s">
        <v>131</v>
      </c>
      <c r="C56" s="6" t="s">
        <v>14</v>
      </c>
      <c r="D56" s="8">
        <v>1000</v>
      </c>
      <c r="E56" s="8">
        <v>5</v>
      </c>
      <c r="F56" s="8">
        <v>18</v>
      </c>
      <c r="G56" s="8">
        <v>4</v>
      </c>
      <c r="H56" s="8">
        <v>3</v>
      </c>
      <c r="I56" s="8">
        <v>2</v>
      </c>
      <c r="J56" s="8">
        <v>1</v>
      </c>
      <c r="K56" s="8">
        <v>2</v>
      </c>
      <c r="L56" s="14"/>
    </row>
    <row r="57" spans="1:12" x14ac:dyDescent="0.3">
      <c r="A57" s="8" t="s">
        <v>132</v>
      </c>
      <c r="B57" s="9" t="s">
        <v>133</v>
      </c>
      <c r="C57" s="6" t="s">
        <v>14</v>
      </c>
      <c r="D57" s="8">
        <v>1000</v>
      </c>
      <c r="E57" s="8">
        <v>0</v>
      </c>
      <c r="F57" s="8">
        <v>16</v>
      </c>
      <c r="G57" s="8">
        <v>0</v>
      </c>
      <c r="H57" s="8">
        <v>10</v>
      </c>
      <c r="I57" s="8">
        <v>6</v>
      </c>
      <c r="J57" s="8">
        <v>2</v>
      </c>
      <c r="K57" s="8">
        <v>4</v>
      </c>
      <c r="L57" s="14"/>
    </row>
    <row r="58" spans="1:12" s="5" customFormat="1" x14ac:dyDescent="0.3">
      <c r="A58" s="8" t="s">
        <v>134</v>
      </c>
      <c r="B58" s="10" t="s">
        <v>135</v>
      </c>
      <c r="C58" s="6" t="s">
        <v>14</v>
      </c>
      <c r="D58" s="8">
        <v>2000</v>
      </c>
      <c r="E58" s="8">
        <v>15</v>
      </c>
      <c r="F58" s="8">
        <v>24</v>
      </c>
      <c r="G58" s="8">
        <v>4</v>
      </c>
      <c r="H58" s="8">
        <v>0</v>
      </c>
      <c r="I58" s="8">
        <v>6</v>
      </c>
      <c r="J58" s="8">
        <v>2</v>
      </c>
      <c r="K58" s="8">
        <v>3</v>
      </c>
      <c r="L58" s="14"/>
    </row>
    <row r="59" spans="1:12" s="3" customFormat="1" x14ac:dyDescent="0.3">
      <c r="A59" s="8" t="s">
        <v>136</v>
      </c>
      <c r="B59" s="11" t="s">
        <v>137</v>
      </c>
      <c r="C59" s="6" t="s">
        <v>14</v>
      </c>
      <c r="D59" s="8">
        <v>3000</v>
      </c>
      <c r="E59" s="8">
        <v>12</v>
      </c>
      <c r="F59" s="8">
        <v>28</v>
      </c>
      <c r="G59" s="8">
        <v>5</v>
      </c>
      <c r="H59" s="8">
        <v>3</v>
      </c>
      <c r="I59" s="8">
        <v>12</v>
      </c>
      <c r="J59" s="8">
        <v>11</v>
      </c>
      <c r="K59" s="8">
        <v>0</v>
      </c>
      <c r="L59" s="14" t="s">
        <v>138</v>
      </c>
    </row>
    <row r="60" spans="1:12" x14ac:dyDescent="0.3">
      <c r="A60" s="8" t="s">
        <v>139</v>
      </c>
      <c r="B60" s="9" t="s">
        <v>140</v>
      </c>
      <c r="C60" s="6" t="s">
        <v>23</v>
      </c>
      <c r="D60" s="8">
        <v>1200</v>
      </c>
      <c r="E60" s="8">
        <v>40</v>
      </c>
      <c r="F60" s="8">
        <v>0</v>
      </c>
      <c r="G60" s="8">
        <v>15</v>
      </c>
      <c r="H60" s="8">
        <v>8</v>
      </c>
      <c r="I60" s="8">
        <v>2</v>
      </c>
      <c r="J60" s="8">
        <v>0</v>
      </c>
      <c r="K60" s="8">
        <v>0</v>
      </c>
      <c r="L60" s="14"/>
    </row>
    <row r="61" spans="1:12" s="3" customFormat="1" x14ac:dyDescent="0.3">
      <c r="A61" s="8" t="s">
        <v>141</v>
      </c>
      <c r="B61" s="11" t="s">
        <v>142</v>
      </c>
      <c r="C61" s="6" t="s">
        <v>23</v>
      </c>
      <c r="D61" s="8">
        <v>3500</v>
      </c>
      <c r="E61" s="8">
        <v>55</v>
      </c>
      <c r="F61" s="8">
        <v>8</v>
      </c>
      <c r="G61" s="8">
        <v>20</v>
      </c>
      <c r="H61" s="8">
        <v>5</v>
      </c>
      <c r="I61" s="8">
        <v>5</v>
      </c>
      <c r="J61" s="8">
        <v>0</v>
      </c>
      <c r="K61" s="8">
        <v>8</v>
      </c>
      <c r="L61" s="14" t="s">
        <v>143</v>
      </c>
    </row>
    <row r="62" spans="1:12" x14ac:dyDescent="0.3">
      <c r="A62" s="8" t="s">
        <v>144</v>
      </c>
      <c r="B62" s="10" t="s">
        <v>145</v>
      </c>
      <c r="C62" s="6" t="s">
        <v>50</v>
      </c>
      <c r="D62" s="8">
        <v>1500</v>
      </c>
      <c r="E62" s="8">
        <v>10</v>
      </c>
      <c r="F62" s="8">
        <v>5</v>
      </c>
      <c r="G62" s="8">
        <v>2</v>
      </c>
      <c r="H62" s="8">
        <v>10</v>
      </c>
      <c r="I62" s="8">
        <v>3</v>
      </c>
      <c r="J62" s="8">
        <v>2</v>
      </c>
      <c r="K62" s="8">
        <v>3</v>
      </c>
      <c r="L62" s="14"/>
    </row>
    <row r="63" spans="1:12" s="3" customFormat="1" x14ac:dyDescent="0.3">
      <c r="A63" s="8" t="s">
        <v>146</v>
      </c>
      <c r="B63" s="11" t="s">
        <v>147</v>
      </c>
      <c r="C63" s="6" t="s">
        <v>50</v>
      </c>
      <c r="D63" s="8">
        <v>2500</v>
      </c>
      <c r="E63" s="8">
        <v>0</v>
      </c>
      <c r="F63" s="8">
        <v>10</v>
      </c>
      <c r="G63" s="8">
        <v>5</v>
      </c>
      <c r="H63" s="8">
        <v>15</v>
      </c>
      <c r="I63" s="8">
        <v>5</v>
      </c>
      <c r="J63" s="8">
        <v>3</v>
      </c>
      <c r="K63" s="8">
        <v>4</v>
      </c>
      <c r="L63" s="14" t="s">
        <v>138</v>
      </c>
    </row>
    <row r="64" spans="1:12" s="4" customFormat="1" x14ac:dyDescent="0.3">
      <c r="A64" s="8" t="s">
        <v>148</v>
      </c>
      <c r="B64" s="16" t="s">
        <v>149</v>
      </c>
      <c r="C64" s="6" t="s">
        <v>50</v>
      </c>
      <c r="D64" s="8">
        <v>5000</v>
      </c>
      <c r="E64" s="8">
        <v>15</v>
      </c>
      <c r="F64" s="8">
        <v>12</v>
      </c>
      <c r="G64" s="8">
        <v>2</v>
      </c>
      <c r="H64" s="8">
        <v>18</v>
      </c>
      <c r="I64" s="8">
        <v>8</v>
      </c>
      <c r="J64" s="8">
        <v>4</v>
      </c>
      <c r="K64" s="8">
        <v>12</v>
      </c>
      <c r="L64" s="14" t="s">
        <v>150</v>
      </c>
    </row>
    <row r="65" spans="1:12" x14ac:dyDescent="0.3">
      <c r="A65" s="8" t="s">
        <v>151</v>
      </c>
      <c r="B65" s="15" t="s">
        <v>152</v>
      </c>
      <c r="C65" s="6" t="s">
        <v>41</v>
      </c>
      <c r="D65" s="8">
        <v>2000</v>
      </c>
      <c r="E65" s="8">
        <v>10</v>
      </c>
      <c r="F65" s="8">
        <v>4</v>
      </c>
      <c r="G65" s="8">
        <v>8</v>
      </c>
      <c r="H65" s="8">
        <v>8</v>
      </c>
      <c r="I65" s="8">
        <v>3</v>
      </c>
      <c r="J65" s="8">
        <v>2</v>
      </c>
      <c r="K65" s="8">
        <v>12</v>
      </c>
      <c r="L65" s="14"/>
    </row>
    <row r="66" spans="1:12" s="3" customFormat="1" x14ac:dyDescent="0.3">
      <c r="A66" s="8" t="s">
        <v>153</v>
      </c>
      <c r="B66" s="11" t="s">
        <v>154</v>
      </c>
      <c r="C66" s="6" t="s">
        <v>41</v>
      </c>
      <c r="D66" s="8">
        <v>3000</v>
      </c>
      <c r="E66" s="8">
        <v>6</v>
      </c>
      <c r="F66" s="8">
        <v>6</v>
      </c>
      <c r="G66" s="8">
        <v>6</v>
      </c>
      <c r="H66" s="8">
        <v>16</v>
      </c>
      <c r="I66" s="8">
        <v>6</v>
      </c>
      <c r="J66" s="8">
        <v>3</v>
      </c>
      <c r="K66" s="8">
        <v>16</v>
      </c>
      <c r="L66" s="14"/>
    </row>
    <row r="67" spans="1:12" s="3" customFormat="1" x14ac:dyDescent="0.3">
      <c r="A67" s="8" t="s">
        <v>155</v>
      </c>
      <c r="B67" s="11" t="s">
        <v>156</v>
      </c>
      <c r="C67" s="6" t="s">
        <v>41</v>
      </c>
      <c r="D67" s="8">
        <v>2300</v>
      </c>
      <c r="E67" s="8">
        <v>12</v>
      </c>
      <c r="F67" s="8">
        <v>3</v>
      </c>
      <c r="G67" s="8">
        <v>9</v>
      </c>
      <c r="H67" s="8">
        <v>6</v>
      </c>
      <c r="I67" s="8">
        <v>4</v>
      </c>
      <c r="J67" s="8">
        <v>2</v>
      </c>
      <c r="K67" s="8">
        <v>10</v>
      </c>
      <c r="L67" s="14" t="s">
        <v>143</v>
      </c>
    </row>
    <row r="68" spans="1:12" s="3" customFormat="1" x14ac:dyDescent="0.3">
      <c r="A68" s="8" t="s">
        <v>157</v>
      </c>
      <c r="B68" s="11" t="s">
        <v>158</v>
      </c>
      <c r="C68" s="6" t="s">
        <v>32</v>
      </c>
      <c r="D68" s="8">
        <v>2400</v>
      </c>
      <c r="E68" s="8">
        <v>15</v>
      </c>
      <c r="F68" s="8">
        <v>4</v>
      </c>
      <c r="G68" s="8">
        <v>10</v>
      </c>
      <c r="H68" s="8">
        <v>15</v>
      </c>
      <c r="I68" s="8">
        <v>4</v>
      </c>
      <c r="J68" s="8">
        <v>4</v>
      </c>
      <c r="K68" s="8">
        <v>6</v>
      </c>
      <c r="L68" s="14" t="s">
        <v>143</v>
      </c>
    </row>
    <row r="69" spans="1:12" x14ac:dyDescent="0.3">
      <c r="A69" s="8" t="s">
        <v>159</v>
      </c>
      <c r="B69" s="11" t="s">
        <v>160</v>
      </c>
      <c r="C69" s="6" t="s">
        <v>41</v>
      </c>
      <c r="D69" s="8">
        <v>1500</v>
      </c>
      <c r="E69" s="8">
        <v>10</v>
      </c>
      <c r="F69" s="8">
        <v>3</v>
      </c>
      <c r="G69" s="8">
        <v>8</v>
      </c>
      <c r="H69" s="8">
        <v>2</v>
      </c>
      <c r="I69" s="8">
        <v>4</v>
      </c>
      <c r="J69" s="8">
        <v>4</v>
      </c>
      <c r="K69" s="8">
        <v>5</v>
      </c>
      <c r="L69" s="14"/>
    </row>
    <row r="70" spans="1:12" x14ac:dyDescent="0.3">
      <c r="A70" s="8" t="s">
        <v>161</v>
      </c>
      <c r="B70" s="9" t="s">
        <v>162</v>
      </c>
      <c r="C70" s="6" t="s">
        <v>41</v>
      </c>
      <c r="D70" s="8">
        <v>1700</v>
      </c>
      <c r="E70" s="8">
        <v>8</v>
      </c>
      <c r="F70" s="8">
        <v>5</v>
      </c>
      <c r="G70" s="8">
        <v>6</v>
      </c>
      <c r="H70" s="8">
        <v>3</v>
      </c>
      <c r="I70" s="8">
        <v>4</v>
      </c>
      <c r="J70" s="8">
        <v>2</v>
      </c>
      <c r="K70" s="8">
        <v>6</v>
      </c>
      <c r="L70" s="14"/>
    </row>
    <row r="71" spans="1:12" s="3" customFormat="1" x14ac:dyDescent="0.3">
      <c r="A71" s="8" t="s">
        <v>163</v>
      </c>
      <c r="B71" s="11" t="s">
        <v>164</v>
      </c>
      <c r="C71" s="6" t="s">
        <v>32</v>
      </c>
      <c r="D71" s="8">
        <v>2600</v>
      </c>
      <c r="E71" s="8">
        <v>10</v>
      </c>
      <c r="F71" s="8">
        <v>6</v>
      </c>
      <c r="G71" s="8">
        <v>6</v>
      </c>
      <c r="H71" s="8">
        <v>12</v>
      </c>
      <c r="I71" s="8">
        <v>8</v>
      </c>
      <c r="J71" s="8">
        <v>6</v>
      </c>
      <c r="K71" s="8">
        <v>10</v>
      </c>
      <c r="L71" s="14"/>
    </row>
    <row r="72" spans="1:12" s="5" customFormat="1" x14ac:dyDescent="0.3">
      <c r="A72" s="8" t="s">
        <v>165</v>
      </c>
      <c r="B72" s="10" t="s">
        <v>166</v>
      </c>
      <c r="C72" s="6" t="s">
        <v>23</v>
      </c>
      <c r="D72" s="8">
        <v>2200</v>
      </c>
      <c r="E72" s="8">
        <v>48</v>
      </c>
      <c r="F72" s="8">
        <v>6</v>
      </c>
      <c r="G72" s="8">
        <v>18</v>
      </c>
      <c r="H72" s="8">
        <v>3</v>
      </c>
      <c r="I72" s="8">
        <v>3</v>
      </c>
      <c r="J72" s="8">
        <v>1</v>
      </c>
      <c r="K72" s="8">
        <v>6</v>
      </c>
      <c r="L72" s="14"/>
    </row>
    <row r="73" spans="1:12" s="3" customFormat="1" x14ac:dyDescent="0.3">
      <c r="A73" s="8" t="s">
        <v>167</v>
      </c>
      <c r="B73" s="11" t="s">
        <v>168</v>
      </c>
      <c r="C73" s="6" t="s">
        <v>50</v>
      </c>
      <c r="D73" s="8">
        <v>3000</v>
      </c>
      <c r="E73" s="8">
        <v>18</v>
      </c>
      <c r="F73" s="8">
        <v>0</v>
      </c>
      <c r="G73" s="8">
        <v>18</v>
      </c>
      <c r="H73" s="8">
        <v>18</v>
      </c>
      <c r="I73" s="8">
        <v>0</v>
      </c>
      <c r="J73" s="8">
        <v>0</v>
      </c>
      <c r="K73" s="8">
        <v>0</v>
      </c>
      <c r="L73" s="14" t="s">
        <v>169</v>
      </c>
    </row>
    <row r="74" spans="1:12" s="3" customFormat="1" x14ac:dyDescent="0.3">
      <c r="A74" s="8" t="s">
        <v>170</v>
      </c>
      <c r="B74" s="11" t="s">
        <v>171</v>
      </c>
      <c r="C74" s="6" t="s">
        <v>23</v>
      </c>
      <c r="D74" s="8">
        <v>3300</v>
      </c>
      <c r="E74" s="8">
        <v>68</v>
      </c>
      <c r="F74" s="8">
        <v>0</v>
      </c>
      <c r="G74" s="8">
        <v>28</v>
      </c>
      <c r="H74" s="8">
        <v>0</v>
      </c>
      <c r="I74" s="8">
        <v>0</v>
      </c>
      <c r="J74" s="8">
        <v>0</v>
      </c>
      <c r="K74" s="8">
        <v>0</v>
      </c>
      <c r="L74" s="14" t="s">
        <v>169</v>
      </c>
    </row>
    <row r="75" spans="1:12" x14ac:dyDescent="0.3">
      <c r="A75" s="8" t="s">
        <v>172</v>
      </c>
      <c r="B75" s="9" t="s">
        <v>173</v>
      </c>
      <c r="C75" s="6" t="s">
        <v>14</v>
      </c>
      <c r="D75" s="8">
        <v>1200</v>
      </c>
      <c r="E75" s="8">
        <v>0</v>
      </c>
      <c r="F75" s="8">
        <v>20</v>
      </c>
      <c r="G75" s="8">
        <v>0</v>
      </c>
      <c r="H75" s="8">
        <v>3</v>
      </c>
      <c r="I75" s="8">
        <v>6</v>
      </c>
      <c r="J75" s="8">
        <v>3</v>
      </c>
      <c r="K75" s="8">
        <v>8</v>
      </c>
      <c r="L75" s="14"/>
    </row>
    <row r="76" spans="1:12" x14ac:dyDescent="0.3">
      <c r="A76" s="8" t="s">
        <v>174</v>
      </c>
      <c r="B76" s="9" t="s">
        <v>175</v>
      </c>
      <c r="C76" s="6" t="s">
        <v>14</v>
      </c>
      <c r="D76" s="8">
        <v>1200</v>
      </c>
      <c r="E76" s="8">
        <v>0</v>
      </c>
      <c r="F76" s="8">
        <v>22</v>
      </c>
      <c r="G76" s="8">
        <v>0</v>
      </c>
      <c r="H76" s="8">
        <v>3</v>
      </c>
      <c r="I76" s="8">
        <v>8</v>
      </c>
      <c r="J76" s="8">
        <v>3</v>
      </c>
      <c r="K76" s="8">
        <v>8</v>
      </c>
      <c r="L76" s="14"/>
    </row>
    <row r="77" spans="1:12" s="5" customFormat="1" x14ac:dyDescent="0.3">
      <c r="A77" s="8" t="s">
        <v>176</v>
      </c>
      <c r="B77" s="10" t="s">
        <v>177</v>
      </c>
      <c r="C77" s="6" t="s">
        <v>14</v>
      </c>
      <c r="D77" s="8">
        <v>2300</v>
      </c>
      <c r="E77" s="8">
        <v>12</v>
      </c>
      <c r="F77" s="8">
        <v>25</v>
      </c>
      <c r="G77" s="8">
        <v>5</v>
      </c>
      <c r="H77" s="8">
        <v>8</v>
      </c>
      <c r="I77" s="8">
        <v>9</v>
      </c>
      <c r="J77" s="8">
        <v>2</v>
      </c>
      <c r="K77" s="8">
        <v>3</v>
      </c>
      <c r="L77" s="14"/>
    </row>
    <row r="78" spans="1:12" x14ac:dyDescent="0.3">
      <c r="A78" s="8" t="s">
        <v>178</v>
      </c>
      <c r="B78" s="9" t="s">
        <v>179</v>
      </c>
      <c r="C78" s="6" t="s">
        <v>23</v>
      </c>
      <c r="D78" s="8">
        <v>1200</v>
      </c>
      <c r="E78" s="8">
        <v>45</v>
      </c>
      <c r="F78" s="8">
        <v>1</v>
      </c>
      <c r="G78" s="8">
        <v>16</v>
      </c>
      <c r="H78" s="8">
        <v>6</v>
      </c>
      <c r="I78" s="8">
        <v>0</v>
      </c>
      <c r="J78" s="8">
        <v>2</v>
      </c>
      <c r="K78" s="8">
        <v>4</v>
      </c>
      <c r="L78" s="14"/>
    </row>
    <row r="79" spans="1:12" s="5" customFormat="1" x14ac:dyDescent="0.3">
      <c r="A79" s="8" t="s">
        <v>180</v>
      </c>
      <c r="B79" s="10" t="s">
        <v>181</v>
      </c>
      <c r="C79" s="6" t="s">
        <v>23</v>
      </c>
      <c r="D79" s="8">
        <v>2300</v>
      </c>
      <c r="E79" s="8">
        <v>60</v>
      </c>
      <c r="F79" s="8">
        <v>0</v>
      </c>
      <c r="G79" s="8">
        <v>24</v>
      </c>
      <c r="H79" s="8">
        <v>1</v>
      </c>
      <c r="I79" s="8">
        <v>0</v>
      </c>
      <c r="J79" s="8">
        <v>2</v>
      </c>
      <c r="K79" s="8">
        <v>0</v>
      </c>
      <c r="L79" s="14"/>
    </row>
    <row r="80" spans="1:12" s="3" customFormat="1" x14ac:dyDescent="0.3">
      <c r="A80" s="8" t="s">
        <v>182</v>
      </c>
      <c r="B80" s="11" t="s">
        <v>183</v>
      </c>
      <c r="C80" s="6" t="s">
        <v>23</v>
      </c>
      <c r="D80" s="8">
        <v>2800</v>
      </c>
      <c r="E80" s="8">
        <v>70</v>
      </c>
      <c r="F80" s="8">
        <v>6</v>
      </c>
      <c r="G80" s="8">
        <v>24</v>
      </c>
      <c r="H80" s="8">
        <v>8</v>
      </c>
      <c r="I80" s="8">
        <v>4</v>
      </c>
      <c r="J80" s="8">
        <v>3</v>
      </c>
      <c r="K80" s="8">
        <v>6</v>
      </c>
      <c r="L80" s="14" t="s">
        <v>184</v>
      </c>
    </row>
    <row r="81" spans="1:12" x14ac:dyDescent="0.3">
      <c r="A81" s="8" t="s">
        <v>185</v>
      </c>
      <c r="B81" s="10" t="s">
        <v>186</v>
      </c>
      <c r="C81" s="6" t="s">
        <v>50</v>
      </c>
      <c r="D81" s="8">
        <v>1500</v>
      </c>
      <c r="E81" s="8">
        <v>5</v>
      </c>
      <c r="F81" s="8">
        <v>3</v>
      </c>
      <c r="G81" s="8">
        <v>3</v>
      </c>
      <c r="H81" s="8">
        <v>12</v>
      </c>
      <c r="I81" s="8">
        <v>3</v>
      </c>
      <c r="J81" s="8">
        <v>4</v>
      </c>
      <c r="K81" s="8">
        <v>8</v>
      </c>
      <c r="L81" s="14"/>
    </row>
    <row r="82" spans="1:12" s="3" customFormat="1" x14ac:dyDescent="0.3">
      <c r="A82" s="8" t="s">
        <v>187</v>
      </c>
      <c r="B82" s="11" t="s">
        <v>188</v>
      </c>
      <c r="C82" s="6" t="s">
        <v>50</v>
      </c>
      <c r="D82" s="8">
        <v>3000</v>
      </c>
      <c r="E82" s="8">
        <v>5</v>
      </c>
      <c r="F82" s="8">
        <v>8</v>
      </c>
      <c r="G82" s="8">
        <v>5</v>
      </c>
      <c r="H82" s="8">
        <v>20</v>
      </c>
      <c r="I82" s="8">
        <v>8</v>
      </c>
      <c r="J82" s="8">
        <v>4</v>
      </c>
      <c r="K82" s="8">
        <v>15</v>
      </c>
      <c r="L82" s="14" t="s">
        <v>184</v>
      </c>
    </row>
    <row r="83" spans="1:12" s="3" customFormat="1" x14ac:dyDescent="0.3">
      <c r="A83" s="8" t="s">
        <v>189</v>
      </c>
      <c r="B83" s="11" t="s">
        <v>190</v>
      </c>
      <c r="C83" s="6" t="s">
        <v>14</v>
      </c>
      <c r="D83" s="8">
        <v>3300</v>
      </c>
      <c r="E83" s="8">
        <v>0</v>
      </c>
      <c r="F83" s="8">
        <v>32</v>
      </c>
      <c r="G83" s="8">
        <v>2</v>
      </c>
      <c r="H83" s="8">
        <v>8</v>
      </c>
      <c r="I83" s="8">
        <v>14</v>
      </c>
      <c r="J83" s="8">
        <v>9</v>
      </c>
      <c r="K83" s="8">
        <v>16</v>
      </c>
      <c r="L83" s="14"/>
    </row>
    <row r="84" spans="1:12" s="4" customFormat="1" x14ac:dyDescent="0.3">
      <c r="A84" s="8" t="s">
        <v>191</v>
      </c>
      <c r="B84" s="16" t="s">
        <v>192</v>
      </c>
      <c r="C84" s="6" t="s">
        <v>23</v>
      </c>
      <c r="D84" s="8">
        <v>4000</v>
      </c>
      <c r="E84" s="8">
        <v>70</v>
      </c>
      <c r="F84" s="8">
        <v>10</v>
      </c>
      <c r="G84" s="8">
        <v>26</v>
      </c>
      <c r="H84" s="8">
        <v>14</v>
      </c>
      <c r="I84" s="8">
        <v>8</v>
      </c>
      <c r="J84" s="8">
        <v>4</v>
      </c>
      <c r="K84" s="8">
        <v>14</v>
      </c>
      <c r="L84" s="14" t="s">
        <v>193</v>
      </c>
    </row>
    <row r="85" spans="1:12" s="3" customFormat="1" x14ac:dyDescent="0.3">
      <c r="A85" s="8" t="s">
        <v>194</v>
      </c>
      <c r="B85" s="11" t="s">
        <v>195</v>
      </c>
      <c r="C85" s="6" t="s">
        <v>32</v>
      </c>
      <c r="D85" s="8">
        <v>2500</v>
      </c>
      <c r="E85" s="8">
        <v>16</v>
      </c>
      <c r="F85" s="8">
        <v>3</v>
      </c>
      <c r="G85" s="8">
        <v>12</v>
      </c>
      <c r="H85" s="8">
        <v>12</v>
      </c>
      <c r="I85" s="8">
        <v>5</v>
      </c>
      <c r="J85" s="8">
        <v>5</v>
      </c>
      <c r="K85" s="8">
        <v>8</v>
      </c>
      <c r="L85" s="14"/>
    </row>
    <row r="86" spans="1:12" s="3" customFormat="1" x14ac:dyDescent="0.3">
      <c r="A86" s="8" t="s">
        <v>196</v>
      </c>
      <c r="B86" s="11" t="s">
        <v>197</v>
      </c>
      <c r="C86" s="6" t="s">
        <v>32</v>
      </c>
      <c r="D86" s="8">
        <v>3000</v>
      </c>
      <c r="E86" s="8">
        <v>16</v>
      </c>
      <c r="F86" s="8">
        <v>4</v>
      </c>
      <c r="G86" s="8">
        <v>9</v>
      </c>
      <c r="H86" s="8">
        <v>20</v>
      </c>
      <c r="I86" s="8">
        <v>7</v>
      </c>
      <c r="J86" s="8">
        <v>7</v>
      </c>
      <c r="K86" s="8">
        <v>13</v>
      </c>
      <c r="L86" s="14" t="s">
        <v>198</v>
      </c>
    </row>
    <row r="87" spans="1:12" s="3" customFormat="1" x14ac:dyDescent="0.3">
      <c r="A87" s="8" t="s">
        <v>199</v>
      </c>
      <c r="B87" s="11" t="s">
        <v>200</v>
      </c>
      <c r="C87" s="6" t="s">
        <v>41</v>
      </c>
      <c r="D87" s="8">
        <v>2700</v>
      </c>
      <c r="E87" s="8">
        <v>20</v>
      </c>
      <c r="F87" s="8">
        <v>3</v>
      </c>
      <c r="G87" s="8">
        <v>14</v>
      </c>
      <c r="H87" s="8">
        <v>5</v>
      </c>
      <c r="I87" s="8">
        <v>3</v>
      </c>
      <c r="J87" s="8">
        <v>3</v>
      </c>
      <c r="K87" s="8">
        <v>14</v>
      </c>
      <c r="L87" s="14"/>
    </row>
    <row r="88" spans="1:12" s="3" customFormat="1" x14ac:dyDescent="0.3">
      <c r="A88" s="8" t="s">
        <v>201</v>
      </c>
      <c r="B88" s="11" t="s">
        <v>202</v>
      </c>
      <c r="C88" s="6" t="s">
        <v>41</v>
      </c>
      <c r="D88" s="8">
        <v>2600</v>
      </c>
      <c r="E88" s="8">
        <v>12</v>
      </c>
      <c r="F88" s="8">
        <v>2</v>
      </c>
      <c r="G88" s="8">
        <v>8</v>
      </c>
      <c r="H88" s="8">
        <v>12</v>
      </c>
      <c r="I88" s="8">
        <v>3</v>
      </c>
      <c r="J88" s="8">
        <v>2</v>
      </c>
      <c r="K88" s="8">
        <v>20</v>
      </c>
      <c r="L88" s="14"/>
    </row>
    <row r="89" spans="1:12" s="3" customFormat="1" x14ac:dyDescent="0.3">
      <c r="A89" s="8" t="s">
        <v>203</v>
      </c>
      <c r="B89" s="11" t="s">
        <v>204</v>
      </c>
      <c r="C89" s="6" t="s">
        <v>41</v>
      </c>
      <c r="D89" s="8">
        <v>3000</v>
      </c>
      <c r="E89" s="8">
        <v>18</v>
      </c>
      <c r="F89" s="8">
        <v>3</v>
      </c>
      <c r="G89" s="8">
        <v>12</v>
      </c>
      <c r="H89" s="8">
        <v>10</v>
      </c>
      <c r="I89" s="8">
        <v>4</v>
      </c>
      <c r="J89" s="8">
        <v>4</v>
      </c>
      <c r="K89" s="8">
        <v>16</v>
      </c>
      <c r="L89" s="14"/>
    </row>
    <row r="90" spans="1:12" x14ac:dyDescent="0.3">
      <c r="A90" s="8" t="s">
        <v>205</v>
      </c>
      <c r="B90" s="11" t="s">
        <v>206</v>
      </c>
      <c r="C90" s="6" t="s">
        <v>50</v>
      </c>
      <c r="D90" s="8">
        <v>2900</v>
      </c>
      <c r="E90" s="8">
        <v>0</v>
      </c>
      <c r="F90" s="8">
        <v>28</v>
      </c>
      <c r="G90" s="8">
        <v>0</v>
      </c>
      <c r="H90" s="8">
        <v>6</v>
      </c>
      <c r="I90" s="8">
        <v>11</v>
      </c>
      <c r="J90" s="8">
        <v>6</v>
      </c>
      <c r="K90" s="8">
        <v>14</v>
      </c>
      <c r="L90" s="14"/>
    </row>
    <row r="91" spans="1:12" s="3" customFormat="1" x14ac:dyDescent="0.3">
      <c r="A91" s="8" t="s">
        <v>207</v>
      </c>
      <c r="B91" s="11" t="s">
        <v>208</v>
      </c>
      <c r="C91" s="6" t="s">
        <v>14</v>
      </c>
      <c r="D91" s="8">
        <v>2800</v>
      </c>
      <c r="E91" s="8">
        <v>3</v>
      </c>
      <c r="F91" s="8">
        <v>26</v>
      </c>
      <c r="G91" s="8">
        <v>2</v>
      </c>
      <c r="H91" s="8">
        <v>15</v>
      </c>
      <c r="I91" s="8">
        <v>8</v>
      </c>
      <c r="J91" s="8">
        <v>10</v>
      </c>
      <c r="K91" s="8">
        <v>12</v>
      </c>
      <c r="L91" s="14" t="s">
        <v>198</v>
      </c>
    </row>
    <row r="92" spans="1:12" s="3" customFormat="1" x14ac:dyDescent="0.3">
      <c r="A92" s="8" t="s">
        <v>209</v>
      </c>
      <c r="B92" s="11" t="s">
        <v>210</v>
      </c>
      <c r="C92" s="6" t="s">
        <v>14</v>
      </c>
      <c r="D92" s="8">
        <v>2800</v>
      </c>
      <c r="E92" s="8">
        <v>0</v>
      </c>
      <c r="F92" s="8">
        <v>32</v>
      </c>
      <c r="G92" s="8">
        <v>0</v>
      </c>
      <c r="H92" s="8">
        <v>0</v>
      </c>
      <c r="I92" s="8">
        <v>12</v>
      </c>
      <c r="J92" s="8">
        <v>8</v>
      </c>
      <c r="K92" s="8">
        <v>11</v>
      </c>
      <c r="L92" s="14"/>
    </row>
    <row r="93" spans="1:12" x14ac:dyDescent="0.3">
      <c r="A93" s="8" t="s">
        <v>211</v>
      </c>
      <c r="B93" s="10" t="s">
        <v>212</v>
      </c>
      <c r="C93" s="6" t="s">
        <v>50</v>
      </c>
      <c r="D93" s="8">
        <v>2800</v>
      </c>
      <c r="E93" s="8">
        <v>0</v>
      </c>
      <c r="F93" s="8">
        <v>12</v>
      </c>
      <c r="G93" s="8">
        <v>0</v>
      </c>
      <c r="H93" s="8">
        <v>0</v>
      </c>
      <c r="I93" s="8">
        <v>8</v>
      </c>
      <c r="J93" s="8">
        <v>8</v>
      </c>
      <c r="K93" s="8">
        <v>8</v>
      </c>
      <c r="L93" s="14"/>
    </row>
    <row r="94" spans="1:12" x14ac:dyDescent="0.3">
      <c r="A94" s="8" t="s">
        <v>213</v>
      </c>
      <c r="B94" s="17" t="s">
        <v>214</v>
      </c>
      <c r="C94" s="6" t="s">
        <v>50</v>
      </c>
      <c r="D94" s="8">
        <v>2500</v>
      </c>
      <c r="E94" s="8">
        <v>0</v>
      </c>
      <c r="F94" s="8">
        <v>0</v>
      </c>
      <c r="G94" s="8">
        <v>0</v>
      </c>
      <c r="H94" s="8">
        <v>0</v>
      </c>
      <c r="I94" s="8">
        <v>3</v>
      </c>
      <c r="J94" s="8">
        <v>4</v>
      </c>
      <c r="K94" s="8">
        <v>20</v>
      </c>
      <c r="L94" s="14"/>
    </row>
    <row r="95" spans="1:12" s="3" customFormat="1" x14ac:dyDescent="0.3">
      <c r="A95" s="8" t="s">
        <v>215</v>
      </c>
      <c r="B95" s="11" t="s">
        <v>216</v>
      </c>
      <c r="C95" s="6" t="s">
        <v>14</v>
      </c>
      <c r="D95" s="8">
        <v>2600</v>
      </c>
      <c r="E95" s="8">
        <v>4</v>
      </c>
      <c r="F95" s="8">
        <v>7</v>
      </c>
      <c r="G95" s="8">
        <v>4</v>
      </c>
      <c r="H95" s="8">
        <v>18</v>
      </c>
      <c r="I95" s="8">
        <v>7</v>
      </c>
      <c r="J95" s="8">
        <v>3</v>
      </c>
      <c r="K95" s="8">
        <v>13</v>
      </c>
      <c r="L95" s="14"/>
    </row>
    <row r="96" spans="1:12" x14ac:dyDescent="0.3">
      <c r="A96" s="8" t="s">
        <v>217</v>
      </c>
      <c r="B96" s="9" t="s">
        <v>218</v>
      </c>
      <c r="C96" s="6" t="s">
        <v>14</v>
      </c>
      <c r="D96" s="8">
        <v>1500</v>
      </c>
      <c r="E96" s="8">
        <v>2</v>
      </c>
      <c r="F96" s="8">
        <v>23</v>
      </c>
      <c r="G96" s="8">
        <v>2</v>
      </c>
      <c r="H96" s="8">
        <v>8</v>
      </c>
      <c r="I96" s="8">
        <v>8</v>
      </c>
      <c r="J96" s="8">
        <v>6</v>
      </c>
      <c r="K96" s="8">
        <v>6</v>
      </c>
      <c r="L96" s="14"/>
    </row>
    <row r="97" spans="1:12" x14ac:dyDescent="0.3">
      <c r="A97" s="8" t="s">
        <v>219</v>
      </c>
      <c r="B97" s="10" t="s">
        <v>220</v>
      </c>
      <c r="C97" s="6" t="s">
        <v>14</v>
      </c>
      <c r="D97" s="8">
        <v>2600</v>
      </c>
      <c r="E97" s="8">
        <v>0</v>
      </c>
      <c r="F97" s="8">
        <v>25</v>
      </c>
      <c r="G97" s="8">
        <v>0</v>
      </c>
      <c r="H97" s="8">
        <v>10</v>
      </c>
      <c r="I97" s="8">
        <v>10</v>
      </c>
      <c r="J97" s="8">
        <v>6</v>
      </c>
      <c r="K97" s="8">
        <v>15</v>
      </c>
      <c r="L97" s="14"/>
    </row>
    <row r="98" spans="1:12" s="3" customFormat="1" x14ac:dyDescent="0.3">
      <c r="A98" s="8" t="s">
        <v>221</v>
      </c>
      <c r="B98" s="11" t="s">
        <v>222</v>
      </c>
      <c r="C98" s="6" t="s">
        <v>14</v>
      </c>
      <c r="D98" s="8">
        <v>4000</v>
      </c>
      <c r="E98" s="8">
        <v>0</v>
      </c>
      <c r="F98" s="8">
        <v>38</v>
      </c>
      <c r="G98" s="8">
        <v>0</v>
      </c>
      <c r="H98" s="8">
        <v>10</v>
      </c>
      <c r="I98" s="8">
        <v>18</v>
      </c>
      <c r="J98" s="8">
        <v>12</v>
      </c>
      <c r="K98" s="8">
        <v>12</v>
      </c>
      <c r="L98" s="14" t="s">
        <v>223</v>
      </c>
    </row>
    <row r="99" spans="1:12" x14ac:dyDescent="0.3">
      <c r="A99" s="8" t="s">
        <v>224</v>
      </c>
      <c r="B99" s="9" t="s">
        <v>225</v>
      </c>
      <c r="C99" s="6" t="s">
        <v>23</v>
      </c>
      <c r="D99" s="8">
        <v>1450</v>
      </c>
      <c r="E99" s="8">
        <v>50</v>
      </c>
      <c r="F99" s="8">
        <v>3</v>
      </c>
      <c r="G99" s="8">
        <v>15</v>
      </c>
      <c r="H99" s="8">
        <v>5</v>
      </c>
      <c r="I99" s="8">
        <v>2</v>
      </c>
      <c r="J99" s="8">
        <v>2</v>
      </c>
      <c r="K99" s="8">
        <v>8</v>
      </c>
      <c r="L99" s="14"/>
    </row>
    <row r="100" spans="1:12" x14ac:dyDescent="0.3">
      <c r="A100" s="8" t="s">
        <v>226</v>
      </c>
      <c r="B100" s="9" t="s">
        <v>227</v>
      </c>
      <c r="C100" s="6" t="s">
        <v>23</v>
      </c>
      <c r="D100" s="8">
        <v>2700</v>
      </c>
      <c r="E100" s="8">
        <v>70</v>
      </c>
      <c r="F100" s="8">
        <v>0</v>
      </c>
      <c r="G100" s="8">
        <v>25</v>
      </c>
      <c r="H100" s="8">
        <v>0</v>
      </c>
      <c r="I100" s="8">
        <v>1</v>
      </c>
      <c r="J100" s="8">
        <v>1</v>
      </c>
      <c r="K100" s="8">
        <v>0</v>
      </c>
      <c r="L100" s="14"/>
    </row>
    <row r="101" spans="1:12" s="3" customFormat="1" x14ac:dyDescent="0.3">
      <c r="A101" s="8" t="s">
        <v>228</v>
      </c>
      <c r="B101" s="11" t="s">
        <v>229</v>
      </c>
      <c r="C101" s="6" t="s">
        <v>23</v>
      </c>
      <c r="D101" s="8">
        <v>4000</v>
      </c>
      <c r="E101" s="8">
        <v>85</v>
      </c>
      <c r="F101" s="8">
        <v>4</v>
      </c>
      <c r="G101" s="8">
        <v>30</v>
      </c>
      <c r="H101" s="8">
        <v>15</v>
      </c>
      <c r="I101" s="8">
        <v>4</v>
      </c>
      <c r="J101" s="8">
        <v>4</v>
      </c>
      <c r="K101" s="8">
        <v>6</v>
      </c>
      <c r="L101" s="14" t="s">
        <v>223</v>
      </c>
    </row>
    <row r="102" spans="1:12" s="3" customFormat="1" x14ac:dyDescent="0.3">
      <c r="A102" s="8" t="s">
        <v>230</v>
      </c>
      <c r="B102" s="11" t="s">
        <v>231</v>
      </c>
      <c r="C102" s="6" t="s">
        <v>50</v>
      </c>
      <c r="D102" s="8">
        <v>3500</v>
      </c>
      <c r="E102" s="8">
        <v>16</v>
      </c>
      <c r="F102" s="8">
        <v>2</v>
      </c>
      <c r="G102" s="8">
        <v>12</v>
      </c>
      <c r="H102" s="8">
        <v>10</v>
      </c>
      <c r="I102" s="8">
        <v>2</v>
      </c>
      <c r="J102" s="8">
        <v>12</v>
      </c>
      <c r="K102" s="8">
        <v>10</v>
      </c>
      <c r="L102" s="14"/>
    </row>
    <row r="103" spans="1:12" s="3" customFormat="1" x14ac:dyDescent="0.3">
      <c r="A103" s="8" t="s">
        <v>232</v>
      </c>
      <c r="B103" s="11" t="s">
        <v>233</v>
      </c>
      <c r="C103" s="6" t="s">
        <v>50</v>
      </c>
      <c r="D103" s="8">
        <v>3500</v>
      </c>
      <c r="E103" s="8">
        <v>2</v>
      </c>
      <c r="F103" s="8">
        <v>16</v>
      </c>
      <c r="G103" s="8">
        <v>0</v>
      </c>
      <c r="H103" s="8">
        <v>20</v>
      </c>
      <c r="I103" s="8">
        <v>12</v>
      </c>
      <c r="J103" s="8">
        <v>2</v>
      </c>
      <c r="K103" s="8">
        <v>10</v>
      </c>
      <c r="L103" s="14"/>
    </row>
    <row r="104" spans="1:12" x14ac:dyDescent="0.3">
      <c r="A104" s="8" t="s">
        <v>234</v>
      </c>
      <c r="B104" s="16" t="s">
        <v>235</v>
      </c>
      <c r="C104" s="6" t="s">
        <v>14</v>
      </c>
      <c r="D104" s="8">
        <v>6000</v>
      </c>
      <c r="E104" s="8">
        <v>4</v>
      </c>
      <c r="F104" s="8">
        <v>40</v>
      </c>
      <c r="G104" s="8">
        <v>4</v>
      </c>
      <c r="H104" s="8">
        <v>16</v>
      </c>
      <c r="I104" s="8">
        <v>20</v>
      </c>
      <c r="J104" s="8">
        <v>15</v>
      </c>
      <c r="K104" s="8">
        <v>15</v>
      </c>
      <c r="L104" s="14" t="s">
        <v>236</v>
      </c>
    </row>
    <row r="105" spans="1:12" s="3" customFormat="1" x14ac:dyDescent="0.3">
      <c r="A105" s="8" t="s">
        <v>237</v>
      </c>
      <c r="B105" s="11" t="s">
        <v>238</v>
      </c>
      <c r="C105" s="6" t="s">
        <v>32</v>
      </c>
      <c r="D105" s="8">
        <v>3300</v>
      </c>
      <c r="E105" s="8">
        <v>15</v>
      </c>
      <c r="F105" s="8">
        <v>6</v>
      </c>
      <c r="G105" s="8">
        <v>13</v>
      </c>
      <c r="H105" s="8">
        <v>24</v>
      </c>
      <c r="I105" s="8">
        <v>8</v>
      </c>
      <c r="J105" s="8">
        <v>8</v>
      </c>
      <c r="K105" s="8">
        <v>11</v>
      </c>
      <c r="L105" s="14"/>
    </row>
    <row r="106" spans="1:12" s="3" customFormat="1" x14ac:dyDescent="0.3">
      <c r="A106" s="8" t="s">
        <v>239</v>
      </c>
      <c r="B106" s="11" t="s">
        <v>240</v>
      </c>
      <c r="C106" s="6" t="s">
        <v>41</v>
      </c>
      <c r="D106" s="8">
        <v>3200</v>
      </c>
      <c r="E106" s="8">
        <v>20</v>
      </c>
      <c r="F106" s="8">
        <v>2</v>
      </c>
      <c r="G106" s="8">
        <v>15</v>
      </c>
      <c r="H106" s="8">
        <v>19</v>
      </c>
      <c r="I106" s="8">
        <v>8</v>
      </c>
      <c r="J106" s="8">
        <v>4</v>
      </c>
      <c r="K106" s="8">
        <v>17</v>
      </c>
      <c r="L106" s="14"/>
    </row>
    <row r="107" spans="1:12" s="5" customFormat="1" x14ac:dyDescent="0.3">
      <c r="A107" s="8" t="s">
        <v>241</v>
      </c>
      <c r="B107" s="10" t="s">
        <v>242</v>
      </c>
      <c r="C107" s="6" t="s">
        <v>14</v>
      </c>
      <c r="D107" s="8">
        <v>2700</v>
      </c>
      <c r="E107" s="8">
        <v>0</v>
      </c>
      <c r="F107" s="8">
        <v>27</v>
      </c>
      <c r="G107" s="8">
        <v>0</v>
      </c>
      <c r="H107" s="8">
        <v>3</v>
      </c>
      <c r="I107" s="8">
        <v>8</v>
      </c>
      <c r="J107" s="8">
        <v>8</v>
      </c>
      <c r="K107" s="8">
        <v>16</v>
      </c>
      <c r="L107" s="14"/>
    </row>
    <row r="108" spans="1:12" s="5" customFormat="1" x14ac:dyDescent="0.3">
      <c r="A108" s="8" t="s">
        <v>243</v>
      </c>
      <c r="B108" s="10" t="s">
        <v>244</v>
      </c>
      <c r="C108" s="6" t="s">
        <v>14</v>
      </c>
      <c r="D108" s="8">
        <v>3300</v>
      </c>
      <c r="E108" s="8">
        <v>18</v>
      </c>
      <c r="F108" s="8">
        <v>30</v>
      </c>
      <c r="G108" s="8">
        <v>8</v>
      </c>
      <c r="H108" s="8">
        <v>8</v>
      </c>
      <c r="I108" s="8">
        <v>15</v>
      </c>
      <c r="J108" s="8">
        <v>9</v>
      </c>
      <c r="K108" s="8">
        <v>5</v>
      </c>
      <c r="L108" s="14"/>
    </row>
    <row r="109" spans="1:12" s="3" customFormat="1" x14ac:dyDescent="0.3">
      <c r="A109" s="8" t="s">
        <v>245</v>
      </c>
      <c r="B109" s="11" t="s">
        <v>246</v>
      </c>
      <c r="C109" s="6" t="s">
        <v>14</v>
      </c>
      <c r="D109" s="8">
        <v>4000</v>
      </c>
      <c r="E109" s="8">
        <v>0</v>
      </c>
      <c r="F109" s="8">
        <v>40</v>
      </c>
      <c r="G109" s="8">
        <v>0</v>
      </c>
      <c r="H109" s="8">
        <v>15</v>
      </c>
      <c r="I109" s="8">
        <v>14</v>
      </c>
      <c r="J109" s="8">
        <v>14</v>
      </c>
      <c r="K109" s="8">
        <v>16</v>
      </c>
      <c r="L109" s="14"/>
    </row>
    <row r="110" spans="1:12" s="3" customFormat="1" x14ac:dyDescent="0.3">
      <c r="A110" s="8" t="s">
        <v>247</v>
      </c>
      <c r="B110" s="11" t="s">
        <v>248</v>
      </c>
      <c r="C110" s="6" t="s">
        <v>23</v>
      </c>
      <c r="D110" s="8">
        <v>4200</v>
      </c>
      <c r="E110" s="8">
        <v>80</v>
      </c>
      <c r="F110" s="8">
        <v>10</v>
      </c>
      <c r="G110" s="8">
        <v>26</v>
      </c>
      <c r="H110" s="8">
        <v>16</v>
      </c>
      <c r="I110" s="8">
        <v>5</v>
      </c>
      <c r="J110" s="8">
        <v>5</v>
      </c>
      <c r="K110" s="8">
        <v>5</v>
      </c>
      <c r="L110" s="14"/>
    </row>
    <row r="111" spans="1:12" x14ac:dyDescent="0.3">
      <c r="A111" s="8" t="s">
        <v>249</v>
      </c>
      <c r="B111" s="10" t="s">
        <v>250</v>
      </c>
      <c r="C111" s="6" t="s">
        <v>41</v>
      </c>
      <c r="D111" s="8">
        <v>1200</v>
      </c>
      <c r="E111" s="8">
        <v>10</v>
      </c>
      <c r="F111" s="8">
        <v>2</v>
      </c>
      <c r="G111" s="8">
        <v>6</v>
      </c>
      <c r="H111" s="8">
        <v>2</v>
      </c>
      <c r="I111" s="8">
        <v>2</v>
      </c>
      <c r="J111" s="8">
        <v>2</v>
      </c>
      <c r="K111" s="8">
        <v>8</v>
      </c>
      <c r="L111" s="14"/>
    </row>
    <row r="112" spans="1:12" x14ac:dyDescent="0.3">
      <c r="A112" s="8" t="s">
        <v>251</v>
      </c>
      <c r="B112" s="9" t="s">
        <v>252</v>
      </c>
      <c r="C112" s="6" t="s">
        <v>41</v>
      </c>
      <c r="D112" s="8">
        <v>1850</v>
      </c>
      <c r="E112" s="8">
        <v>11</v>
      </c>
      <c r="F112" s="8">
        <v>2</v>
      </c>
      <c r="G112" s="8">
        <v>5</v>
      </c>
      <c r="H112" s="8">
        <v>2</v>
      </c>
      <c r="I112" s="8">
        <v>2</v>
      </c>
      <c r="J112" s="8">
        <v>2</v>
      </c>
      <c r="K112" s="8">
        <v>20</v>
      </c>
      <c r="L112" s="14"/>
    </row>
    <row r="113" spans="1:12" x14ac:dyDescent="0.3">
      <c r="A113" s="8" t="s">
        <v>253</v>
      </c>
      <c r="B113" s="10" t="s">
        <v>254</v>
      </c>
      <c r="C113" s="6" t="s">
        <v>41</v>
      </c>
      <c r="D113" s="8">
        <v>2000</v>
      </c>
      <c r="E113" s="8">
        <v>14</v>
      </c>
      <c r="F113" s="8">
        <v>3</v>
      </c>
      <c r="G113" s="8">
        <v>10</v>
      </c>
      <c r="H113" s="8">
        <v>8</v>
      </c>
      <c r="I113" s="8">
        <v>3</v>
      </c>
      <c r="J113" s="8">
        <v>3</v>
      </c>
      <c r="K113" s="8">
        <v>13</v>
      </c>
      <c r="L113" s="14"/>
    </row>
    <row r="114" spans="1:12" x14ac:dyDescent="0.3">
      <c r="A114" s="8" t="s">
        <v>255</v>
      </c>
      <c r="B114" s="18" t="s">
        <v>256</v>
      </c>
      <c r="C114" s="6" t="s">
        <v>14</v>
      </c>
      <c r="D114" s="8">
        <v>5000</v>
      </c>
      <c r="E114" s="8">
        <v>0</v>
      </c>
      <c r="F114" s="8">
        <v>40</v>
      </c>
      <c r="G114" s="8">
        <v>0</v>
      </c>
      <c r="H114" s="8">
        <v>5</v>
      </c>
      <c r="I114" s="8">
        <v>18</v>
      </c>
      <c r="J114" s="8">
        <v>12</v>
      </c>
      <c r="K114" s="8">
        <v>18</v>
      </c>
      <c r="L114" s="14" t="s">
        <v>257</v>
      </c>
    </row>
    <row r="115" spans="1:12" x14ac:dyDescent="0.3">
      <c r="A115" s="8" t="s">
        <v>258</v>
      </c>
      <c r="B115" s="9" t="s">
        <v>259</v>
      </c>
      <c r="C115" s="6" t="s">
        <v>14</v>
      </c>
      <c r="D115" s="8">
        <v>1750</v>
      </c>
      <c r="E115" s="8">
        <v>5</v>
      </c>
      <c r="F115" s="8">
        <v>24</v>
      </c>
      <c r="G115" s="8">
        <v>0</v>
      </c>
      <c r="H115" s="8">
        <v>5</v>
      </c>
      <c r="I115" s="8">
        <v>10</v>
      </c>
      <c r="J115" s="8">
        <v>9</v>
      </c>
      <c r="K115" s="8">
        <v>8</v>
      </c>
      <c r="L115" s="14"/>
    </row>
    <row r="116" spans="1:12" x14ac:dyDescent="0.3">
      <c r="A116" s="8" t="s">
        <v>260</v>
      </c>
      <c r="B116" s="10" t="s">
        <v>261</v>
      </c>
      <c r="C116" s="6" t="s">
        <v>14</v>
      </c>
      <c r="D116" s="8">
        <v>2800</v>
      </c>
      <c r="E116" s="8">
        <v>0</v>
      </c>
      <c r="F116" s="8">
        <v>28</v>
      </c>
      <c r="G116" s="8">
        <v>0</v>
      </c>
      <c r="H116" s="8">
        <v>15</v>
      </c>
      <c r="I116" s="8">
        <v>15</v>
      </c>
      <c r="J116" s="8">
        <v>12</v>
      </c>
      <c r="K116" s="8">
        <v>12</v>
      </c>
      <c r="L116" s="14"/>
    </row>
    <row r="117" spans="1:12" x14ac:dyDescent="0.3">
      <c r="A117" s="8" t="s">
        <v>262</v>
      </c>
      <c r="B117" s="9" t="s">
        <v>263</v>
      </c>
      <c r="C117" s="6" t="s">
        <v>23</v>
      </c>
      <c r="D117" s="8">
        <v>1700</v>
      </c>
      <c r="E117" s="8">
        <v>80</v>
      </c>
      <c r="F117" s="8">
        <v>0</v>
      </c>
      <c r="G117" s="8">
        <v>20</v>
      </c>
      <c r="H117" s="8">
        <v>6</v>
      </c>
      <c r="I117" s="8">
        <v>3</v>
      </c>
      <c r="J117" s="8">
        <v>3</v>
      </c>
      <c r="K117" s="8">
        <v>3</v>
      </c>
      <c r="L117" s="14"/>
    </row>
    <row r="118" spans="1:12" x14ac:dyDescent="0.3">
      <c r="A118" s="8" t="s">
        <v>264</v>
      </c>
      <c r="B118" s="10" t="s">
        <v>265</v>
      </c>
      <c r="C118" s="6" t="s">
        <v>23</v>
      </c>
      <c r="D118" s="8">
        <v>2900</v>
      </c>
      <c r="E118" s="8">
        <v>70</v>
      </c>
      <c r="F118" s="8">
        <v>2</v>
      </c>
      <c r="G118" s="8">
        <v>30</v>
      </c>
      <c r="H118" s="8">
        <v>2</v>
      </c>
      <c r="I118" s="8">
        <v>3</v>
      </c>
      <c r="J118" s="8">
        <v>4</v>
      </c>
      <c r="K118" s="8">
        <v>4</v>
      </c>
      <c r="L118" s="14"/>
    </row>
    <row r="119" spans="1:12" x14ac:dyDescent="0.3">
      <c r="A119" s="8" t="s">
        <v>266</v>
      </c>
      <c r="B119" s="11" t="s">
        <v>267</v>
      </c>
      <c r="C119" s="6" t="s">
        <v>23</v>
      </c>
      <c r="D119" s="8">
        <v>4500</v>
      </c>
      <c r="E119" s="8">
        <v>110</v>
      </c>
      <c r="F119" s="8">
        <v>3</v>
      </c>
      <c r="G119" s="8">
        <v>40</v>
      </c>
      <c r="H119" s="8">
        <v>10</v>
      </c>
      <c r="I119" s="8">
        <v>1</v>
      </c>
      <c r="J119" s="8">
        <v>4</v>
      </c>
      <c r="K119" s="8">
        <v>6</v>
      </c>
      <c r="L119" s="14"/>
    </row>
    <row r="120" spans="1:12" x14ac:dyDescent="0.3">
      <c r="A120" s="8" t="s">
        <v>268</v>
      </c>
      <c r="B120" s="9" t="s">
        <v>269</v>
      </c>
      <c r="C120" s="6" t="s">
        <v>50</v>
      </c>
      <c r="D120" s="8">
        <v>2000</v>
      </c>
      <c r="E120" s="8">
        <v>6</v>
      </c>
      <c r="F120" s="8">
        <v>6</v>
      </c>
      <c r="G120" s="8">
        <v>6</v>
      </c>
      <c r="H120" s="8">
        <v>6</v>
      </c>
      <c r="I120" s="8">
        <v>6</v>
      </c>
      <c r="J120" s="8">
        <v>6</v>
      </c>
      <c r="K120" s="8">
        <v>6</v>
      </c>
      <c r="L120" s="14"/>
    </row>
    <row r="121" spans="1:12" x14ac:dyDescent="0.3">
      <c r="A121" s="8" t="s">
        <v>270</v>
      </c>
      <c r="B121" s="10" t="s">
        <v>271</v>
      </c>
      <c r="C121" s="6" t="s">
        <v>50</v>
      </c>
      <c r="D121" s="8">
        <v>3000</v>
      </c>
      <c r="E121" s="8">
        <v>6</v>
      </c>
      <c r="F121" s="8">
        <v>12</v>
      </c>
      <c r="G121" s="8">
        <v>2</v>
      </c>
      <c r="H121" s="8">
        <v>20</v>
      </c>
      <c r="I121" s="8">
        <v>10</v>
      </c>
      <c r="J121" s="8">
        <v>6</v>
      </c>
      <c r="K121" s="8">
        <v>6</v>
      </c>
      <c r="L121" s="14"/>
    </row>
    <row r="122" spans="1:12" x14ac:dyDescent="0.3">
      <c r="A122" s="8" t="s">
        <v>272</v>
      </c>
      <c r="B122" s="11" t="s">
        <v>273</v>
      </c>
      <c r="C122" s="6" t="s">
        <v>50</v>
      </c>
      <c r="D122" s="8">
        <v>4000</v>
      </c>
      <c r="E122" s="8">
        <v>12</v>
      </c>
      <c r="F122" s="8">
        <v>12</v>
      </c>
      <c r="G122" s="8">
        <v>6</v>
      </c>
      <c r="H122" s="8">
        <v>30</v>
      </c>
      <c r="I122" s="8">
        <v>9</v>
      </c>
      <c r="J122" s="8">
        <v>6</v>
      </c>
      <c r="K122" s="8">
        <v>6</v>
      </c>
      <c r="L122" s="14"/>
    </row>
    <row r="123" spans="1:12" x14ac:dyDescent="0.3">
      <c r="A123" s="8" t="s">
        <v>274</v>
      </c>
      <c r="B123" s="16" t="s">
        <v>275</v>
      </c>
      <c r="C123" s="6" t="s">
        <v>32</v>
      </c>
      <c r="D123" s="8">
        <v>5500</v>
      </c>
      <c r="E123" s="8">
        <v>20</v>
      </c>
      <c r="F123" s="8">
        <v>15</v>
      </c>
      <c r="G123" s="8">
        <v>10</v>
      </c>
      <c r="H123" s="8">
        <v>25</v>
      </c>
      <c r="I123" s="8">
        <v>20</v>
      </c>
      <c r="J123" s="8">
        <v>10</v>
      </c>
      <c r="K123" s="8">
        <v>15</v>
      </c>
      <c r="L123" s="14" t="s">
        <v>276</v>
      </c>
    </row>
    <row r="124" spans="1:12" x14ac:dyDescent="0.3">
      <c r="A124" s="8" t="s">
        <v>277</v>
      </c>
      <c r="B124" s="18" t="s">
        <v>278</v>
      </c>
      <c r="C124" s="6" t="s">
        <v>50</v>
      </c>
      <c r="D124" s="8">
        <v>5000</v>
      </c>
      <c r="E124" s="8">
        <v>16</v>
      </c>
      <c r="F124" s="8">
        <v>9</v>
      </c>
      <c r="G124" s="8">
        <v>9</v>
      </c>
      <c r="H124" s="8">
        <v>30</v>
      </c>
      <c r="I124" s="8">
        <v>12</v>
      </c>
      <c r="J124" s="8">
        <v>9</v>
      </c>
      <c r="K124" s="8">
        <v>10</v>
      </c>
      <c r="L124" s="14" t="s">
        <v>279</v>
      </c>
    </row>
    <row r="125" spans="1:12" x14ac:dyDescent="0.3">
      <c r="A125" s="8" t="s">
        <v>280</v>
      </c>
      <c r="B125" s="19" t="s">
        <v>281</v>
      </c>
      <c r="C125" s="6" t="s">
        <v>14</v>
      </c>
      <c r="D125" s="8">
        <v>9999</v>
      </c>
      <c r="E125" s="8">
        <v>10</v>
      </c>
      <c r="F125" s="8">
        <v>60</v>
      </c>
      <c r="G125" s="8">
        <v>5</v>
      </c>
      <c r="H125" s="8">
        <v>30</v>
      </c>
      <c r="I125" s="8">
        <v>35</v>
      </c>
      <c r="J125" s="8">
        <v>25</v>
      </c>
      <c r="K125" s="8">
        <v>45</v>
      </c>
      <c r="L125" s="14"/>
    </row>
    <row r="126" spans="1:12" x14ac:dyDescent="0.3">
      <c r="A126" s="8" t="s">
        <v>282</v>
      </c>
      <c r="B126" s="19" t="s">
        <v>283</v>
      </c>
      <c r="C126" s="6" t="s">
        <v>14</v>
      </c>
      <c r="D126" s="8">
        <v>9999</v>
      </c>
      <c r="E126" s="8">
        <v>10</v>
      </c>
      <c r="F126" s="8">
        <v>60</v>
      </c>
      <c r="G126" s="8">
        <v>5</v>
      </c>
      <c r="H126" s="8">
        <v>60</v>
      </c>
      <c r="I126" s="8">
        <v>35</v>
      </c>
      <c r="J126" s="8">
        <v>30</v>
      </c>
      <c r="K126" s="8">
        <v>28</v>
      </c>
      <c r="L126" s="14"/>
    </row>
    <row r="127" spans="1:12" x14ac:dyDescent="0.3">
      <c r="A127" s="8" t="s">
        <v>284</v>
      </c>
      <c r="B127" s="19" t="s">
        <v>285</v>
      </c>
      <c r="C127" s="6" t="s">
        <v>14</v>
      </c>
      <c r="D127" s="8">
        <v>9999</v>
      </c>
      <c r="E127" s="8">
        <v>10</v>
      </c>
      <c r="F127" s="8">
        <v>60</v>
      </c>
      <c r="G127" s="8">
        <v>0</v>
      </c>
      <c r="H127" s="8">
        <v>70</v>
      </c>
      <c r="I127" s="8">
        <v>35</v>
      </c>
      <c r="J127" s="8">
        <v>22</v>
      </c>
      <c r="K127" s="8">
        <v>38</v>
      </c>
      <c r="L127" s="14"/>
    </row>
    <row r="128" spans="1:12" x14ac:dyDescent="0.3">
      <c r="A128" s="8" t="s">
        <v>286</v>
      </c>
      <c r="B128" s="11" t="s">
        <v>287</v>
      </c>
      <c r="C128" s="6" t="s">
        <v>14</v>
      </c>
      <c r="D128" s="8">
        <v>4800</v>
      </c>
      <c r="E128" s="8">
        <v>12</v>
      </c>
      <c r="F128" s="8">
        <v>39</v>
      </c>
      <c r="G128" s="8">
        <v>3</v>
      </c>
      <c r="H128" s="8">
        <v>25</v>
      </c>
      <c r="I128" s="8">
        <v>12</v>
      </c>
      <c r="J128" s="8">
        <v>16</v>
      </c>
      <c r="K128" s="8">
        <v>10</v>
      </c>
      <c r="L128" s="14" t="s">
        <v>288</v>
      </c>
    </row>
    <row r="129" spans="1:12" x14ac:dyDescent="0.3">
      <c r="A129" s="8" t="s">
        <v>289</v>
      </c>
      <c r="B129" s="11" t="s">
        <v>290</v>
      </c>
      <c r="C129" s="6" t="s">
        <v>32</v>
      </c>
      <c r="D129" s="8">
        <v>3550</v>
      </c>
      <c r="E129" s="8">
        <v>25</v>
      </c>
      <c r="F129" s="8">
        <v>3</v>
      </c>
      <c r="G129" s="8">
        <v>16</v>
      </c>
      <c r="H129" s="8">
        <v>20</v>
      </c>
      <c r="I129" s="8">
        <v>15</v>
      </c>
      <c r="J129" s="8">
        <v>7</v>
      </c>
      <c r="K129" s="8">
        <v>12</v>
      </c>
      <c r="L129" s="14" t="s">
        <v>288</v>
      </c>
    </row>
    <row r="130" spans="1:12" x14ac:dyDescent="0.3">
      <c r="A130" s="8" t="s">
        <v>291</v>
      </c>
      <c r="B130" s="11" t="s">
        <v>292</v>
      </c>
      <c r="C130" s="6" t="s">
        <v>41</v>
      </c>
      <c r="D130" s="8">
        <v>3300</v>
      </c>
      <c r="E130" s="8">
        <v>20</v>
      </c>
      <c r="F130" s="8">
        <v>4</v>
      </c>
      <c r="G130" s="8">
        <v>20</v>
      </c>
      <c r="H130" s="8">
        <v>10</v>
      </c>
      <c r="I130" s="8">
        <v>7</v>
      </c>
      <c r="J130" s="8">
        <v>6</v>
      </c>
      <c r="K130" s="8">
        <v>17</v>
      </c>
      <c r="L130" s="14" t="s">
        <v>293</v>
      </c>
    </row>
    <row r="131" spans="1:12" x14ac:dyDescent="0.3">
      <c r="A131" s="8" t="s">
        <v>294</v>
      </c>
      <c r="B131" s="11" t="s">
        <v>295</v>
      </c>
      <c r="C131" s="6" t="s">
        <v>50</v>
      </c>
      <c r="D131" s="8">
        <v>4000</v>
      </c>
      <c r="E131" s="8">
        <v>13</v>
      </c>
      <c r="F131" s="8">
        <v>6</v>
      </c>
      <c r="G131" s="8">
        <v>7</v>
      </c>
      <c r="H131" s="8">
        <v>16</v>
      </c>
      <c r="I131" s="8">
        <v>8</v>
      </c>
      <c r="J131" s="8">
        <v>11</v>
      </c>
      <c r="K131" s="8">
        <v>12</v>
      </c>
      <c r="L131" s="14" t="s">
        <v>293</v>
      </c>
    </row>
    <row r="132" spans="1:12" x14ac:dyDescent="0.3">
      <c r="A132" s="8" t="s">
        <v>296</v>
      </c>
      <c r="B132" s="11" t="s">
        <v>297</v>
      </c>
      <c r="C132" s="6" t="s">
        <v>23</v>
      </c>
      <c r="D132" s="8">
        <v>4300</v>
      </c>
      <c r="E132" s="8">
        <v>90</v>
      </c>
      <c r="F132" s="8">
        <v>10</v>
      </c>
      <c r="G132" s="8">
        <v>28</v>
      </c>
      <c r="H132" s="8">
        <v>20</v>
      </c>
      <c r="I132" s="8">
        <v>7</v>
      </c>
      <c r="J132" s="8">
        <v>5</v>
      </c>
      <c r="K132" s="8">
        <v>12</v>
      </c>
      <c r="L132" s="14" t="s">
        <v>298</v>
      </c>
    </row>
    <row r="133" spans="1:12" x14ac:dyDescent="0.3">
      <c r="A133" s="8" t="s">
        <v>299</v>
      </c>
      <c r="B133" s="11" t="s">
        <v>300</v>
      </c>
      <c r="C133" s="6" t="s">
        <v>32</v>
      </c>
      <c r="D133" s="8">
        <v>3500</v>
      </c>
      <c r="E133" s="8">
        <v>22</v>
      </c>
      <c r="F133" s="8">
        <v>8</v>
      </c>
      <c r="G133" s="8">
        <v>6</v>
      </c>
      <c r="H133" s="8">
        <v>25</v>
      </c>
      <c r="I133" s="8">
        <v>17</v>
      </c>
      <c r="J133" s="8">
        <v>8</v>
      </c>
      <c r="K133" s="8">
        <v>15</v>
      </c>
      <c r="L133" s="14" t="s">
        <v>301</v>
      </c>
    </row>
    <row r="134" spans="1:12" x14ac:dyDescent="0.3">
      <c r="A134" s="8" t="s">
        <v>302</v>
      </c>
      <c r="B134" s="11" t="s">
        <v>303</v>
      </c>
      <c r="C134" s="6" t="s">
        <v>41</v>
      </c>
      <c r="D134" s="8">
        <v>3300</v>
      </c>
      <c r="E134" s="8">
        <v>16</v>
      </c>
      <c r="F134" s="8">
        <v>6</v>
      </c>
      <c r="G134" s="8">
        <v>18</v>
      </c>
      <c r="H134" s="8">
        <v>12</v>
      </c>
      <c r="I134" s="8">
        <v>7</v>
      </c>
      <c r="J134" s="8">
        <v>6</v>
      </c>
      <c r="K134" s="8">
        <v>19</v>
      </c>
      <c r="L134" s="14" t="s">
        <v>301</v>
      </c>
    </row>
    <row r="135" spans="1:12" x14ac:dyDescent="0.3">
      <c r="A135" s="8" t="s">
        <v>304</v>
      </c>
      <c r="B135" s="11" t="s">
        <v>305</v>
      </c>
      <c r="C135" s="6" t="s">
        <v>50</v>
      </c>
      <c r="D135" s="8">
        <v>4100</v>
      </c>
      <c r="E135" s="8">
        <v>5</v>
      </c>
      <c r="F135" s="8">
        <v>15</v>
      </c>
      <c r="G135" s="8">
        <v>0</v>
      </c>
      <c r="H135" s="8">
        <v>30</v>
      </c>
      <c r="I135" s="8">
        <v>2</v>
      </c>
      <c r="J135" s="8">
        <v>2</v>
      </c>
      <c r="K135" s="8">
        <v>20</v>
      </c>
      <c r="L135" s="14" t="s">
        <v>298</v>
      </c>
    </row>
    <row r="136" spans="1:12" x14ac:dyDescent="0.3">
      <c r="A136" s="8" t="s">
        <v>306</v>
      </c>
      <c r="B136" s="11" t="s">
        <v>307</v>
      </c>
      <c r="C136" s="6" t="s">
        <v>23</v>
      </c>
      <c r="D136" s="8">
        <v>4700</v>
      </c>
      <c r="E136" s="8">
        <v>92</v>
      </c>
      <c r="F136" s="8">
        <v>12</v>
      </c>
      <c r="G136" s="8">
        <v>26</v>
      </c>
      <c r="H136" s="8">
        <v>35</v>
      </c>
      <c r="I136" s="8">
        <v>4</v>
      </c>
      <c r="J136" s="8">
        <v>3</v>
      </c>
      <c r="K136" s="8">
        <v>15</v>
      </c>
      <c r="L136" s="14" t="s">
        <v>308</v>
      </c>
    </row>
    <row r="137" spans="1:12" x14ac:dyDescent="0.3">
      <c r="A137" s="8" t="s">
        <v>309</v>
      </c>
      <c r="B137" s="11" t="s">
        <v>310</v>
      </c>
      <c r="C137" s="6" t="s">
        <v>32</v>
      </c>
      <c r="D137" s="8">
        <v>3650</v>
      </c>
      <c r="E137" s="8">
        <v>19</v>
      </c>
      <c r="F137" s="8">
        <v>9</v>
      </c>
      <c r="G137" s="8">
        <v>11</v>
      </c>
      <c r="H137" s="8">
        <v>20</v>
      </c>
      <c r="I137" s="8">
        <v>18</v>
      </c>
      <c r="J137" s="8">
        <v>6</v>
      </c>
      <c r="K137" s="8">
        <v>12</v>
      </c>
      <c r="L137" s="14"/>
    </row>
    <row r="138" spans="1:12" x14ac:dyDescent="0.3">
      <c r="A138" s="8" t="s">
        <v>311</v>
      </c>
      <c r="B138" s="11" t="s">
        <v>312</v>
      </c>
      <c r="C138" s="6" t="s">
        <v>41</v>
      </c>
      <c r="D138" s="8">
        <v>3400</v>
      </c>
      <c r="E138" s="8">
        <v>23</v>
      </c>
      <c r="F138" s="8">
        <v>3</v>
      </c>
      <c r="G138" s="8">
        <v>22</v>
      </c>
      <c r="H138" s="8">
        <v>11</v>
      </c>
      <c r="I138" s="8">
        <v>5</v>
      </c>
      <c r="J138" s="8">
        <v>4</v>
      </c>
      <c r="K138" s="8">
        <v>22</v>
      </c>
      <c r="L138" s="14" t="s">
        <v>298</v>
      </c>
    </row>
    <row r="139" spans="1:12" x14ac:dyDescent="0.3">
      <c r="A139" s="8" t="s">
        <v>313</v>
      </c>
      <c r="B139" s="11" t="s">
        <v>314</v>
      </c>
      <c r="C139" s="6" t="s">
        <v>50</v>
      </c>
      <c r="D139" s="8">
        <v>4200</v>
      </c>
      <c r="E139" s="8">
        <v>18</v>
      </c>
      <c r="F139" s="8">
        <v>5</v>
      </c>
      <c r="G139" s="8">
        <v>12</v>
      </c>
      <c r="H139" s="8">
        <v>45</v>
      </c>
      <c r="I139" s="8">
        <v>10</v>
      </c>
      <c r="J139" s="8">
        <v>6</v>
      </c>
      <c r="K139" s="8">
        <v>8</v>
      </c>
      <c r="L139" s="14" t="s">
        <v>308</v>
      </c>
    </row>
    <row r="140" spans="1:12" x14ac:dyDescent="0.3">
      <c r="A140" s="8" t="s">
        <v>315</v>
      </c>
      <c r="B140" s="11" t="s">
        <v>316</v>
      </c>
      <c r="C140" s="6" t="s">
        <v>14</v>
      </c>
      <c r="D140" s="8">
        <v>5100</v>
      </c>
      <c r="E140" s="8">
        <v>8</v>
      </c>
      <c r="F140" s="8">
        <v>38</v>
      </c>
      <c r="G140" s="8">
        <v>6</v>
      </c>
      <c r="H140" s="8">
        <v>40</v>
      </c>
      <c r="I140" s="8">
        <v>14</v>
      </c>
      <c r="J140" s="8">
        <v>12</v>
      </c>
      <c r="K140" s="8">
        <v>10</v>
      </c>
      <c r="L140" s="14" t="s">
        <v>317</v>
      </c>
    </row>
    <row r="141" spans="1:12" x14ac:dyDescent="0.3">
      <c r="A141" s="8" t="s">
        <v>318</v>
      </c>
      <c r="B141" s="11" t="s">
        <v>319</v>
      </c>
      <c r="C141" s="6" t="s">
        <v>23</v>
      </c>
      <c r="D141" s="8">
        <v>4500</v>
      </c>
      <c r="E141" s="8">
        <v>80</v>
      </c>
      <c r="F141" s="8">
        <v>8</v>
      </c>
      <c r="G141" s="8">
        <v>32</v>
      </c>
      <c r="H141" s="8">
        <v>30</v>
      </c>
      <c r="I141" s="8">
        <v>6</v>
      </c>
      <c r="J141" s="8">
        <v>6</v>
      </c>
      <c r="K141" s="8">
        <v>15</v>
      </c>
      <c r="L141" s="14" t="s">
        <v>317</v>
      </c>
    </row>
    <row r="142" spans="1:12" x14ac:dyDescent="0.3">
      <c r="A142" s="8" t="s">
        <v>320</v>
      </c>
      <c r="B142" s="11" t="s">
        <v>321</v>
      </c>
      <c r="C142" s="6" t="s">
        <v>32</v>
      </c>
      <c r="D142" s="8">
        <v>3700</v>
      </c>
      <c r="E142" s="8">
        <v>12</v>
      </c>
      <c r="F142" s="8">
        <v>12</v>
      </c>
      <c r="G142" s="8">
        <v>12</v>
      </c>
      <c r="H142" s="8">
        <v>12</v>
      </c>
      <c r="I142" s="8">
        <v>12</v>
      </c>
      <c r="J142" s="8">
        <v>12</v>
      </c>
      <c r="K142" s="8">
        <v>12</v>
      </c>
      <c r="L142" s="14" t="s">
        <v>322</v>
      </c>
    </row>
    <row r="143" spans="1:12" x14ac:dyDescent="0.3">
      <c r="A143" s="8" t="s">
        <v>323</v>
      </c>
      <c r="B143" s="11" t="s">
        <v>324</v>
      </c>
      <c r="C143" s="6" t="s">
        <v>41</v>
      </c>
      <c r="D143" s="8">
        <v>3500</v>
      </c>
      <c r="E143" s="8">
        <v>19</v>
      </c>
      <c r="F143" s="8">
        <v>8</v>
      </c>
      <c r="G143" s="8">
        <v>16</v>
      </c>
      <c r="H143" s="8">
        <v>20</v>
      </c>
      <c r="I143" s="8">
        <v>13</v>
      </c>
      <c r="J143" s="8">
        <v>8</v>
      </c>
      <c r="K143" s="8">
        <v>15</v>
      </c>
      <c r="L143" s="14" t="s">
        <v>322</v>
      </c>
    </row>
    <row r="144" spans="1:12" x14ac:dyDescent="0.3">
      <c r="A144" s="8" t="s">
        <v>325</v>
      </c>
      <c r="B144" s="11" t="s">
        <v>326</v>
      </c>
      <c r="C144" s="6" t="s">
        <v>50</v>
      </c>
      <c r="D144" s="8">
        <v>4300</v>
      </c>
      <c r="E144" s="8">
        <v>15</v>
      </c>
      <c r="F144" s="8">
        <v>10</v>
      </c>
      <c r="G144" s="8">
        <v>5</v>
      </c>
      <c r="H144" s="8">
        <v>32</v>
      </c>
      <c r="I144" s="8">
        <v>11</v>
      </c>
      <c r="J144" s="8">
        <v>7</v>
      </c>
      <c r="K144" s="8">
        <v>14</v>
      </c>
      <c r="L144" s="14" t="s">
        <v>322</v>
      </c>
    </row>
    <row r="145" spans="1:12" x14ac:dyDescent="0.3">
      <c r="A145" s="8" t="s">
        <v>327</v>
      </c>
      <c r="B145" s="11" t="s">
        <v>328</v>
      </c>
      <c r="C145" s="6" t="s">
        <v>14</v>
      </c>
      <c r="D145" s="8">
        <v>5400</v>
      </c>
      <c r="E145" s="8">
        <v>20</v>
      </c>
      <c r="F145" s="8">
        <v>45</v>
      </c>
      <c r="G145" s="8">
        <v>10</v>
      </c>
      <c r="H145" s="8">
        <v>0</v>
      </c>
      <c r="I145" s="8">
        <v>20</v>
      </c>
      <c r="J145" s="8">
        <v>15</v>
      </c>
      <c r="K145" s="8">
        <v>5</v>
      </c>
      <c r="L145" s="14" t="s">
        <v>329</v>
      </c>
    </row>
    <row r="146" spans="1:12" x14ac:dyDescent="0.3">
      <c r="A146" s="8" t="s">
        <v>330</v>
      </c>
      <c r="B146" s="11" t="s">
        <v>331</v>
      </c>
      <c r="C146" s="6" t="s">
        <v>23</v>
      </c>
      <c r="D146" s="8">
        <v>4900</v>
      </c>
      <c r="E146" s="8">
        <v>125</v>
      </c>
      <c r="F146" s="8">
        <v>4</v>
      </c>
      <c r="G146" s="8">
        <v>42</v>
      </c>
      <c r="H146" s="8">
        <v>0</v>
      </c>
      <c r="I146" s="8">
        <v>6</v>
      </c>
      <c r="J146" s="8">
        <v>3</v>
      </c>
      <c r="K146" s="8">
        <v>8</v>
      </c>
      <c r="L146" s="14" t="s">
        <v>332</v>
      </c>
    </row>
    <row r="147" spans="1:12" x14ac:dyDescent="0.3">
      <c r="A147" s="8" t="s">
        <v>333</v>
      </c>
      <c r="B147" s="11" t="s">
        <v>334</v>
      </c>
      <c r="C147" s="6" t="s">
        <v>32</v>
      </c>
      <c r="D147" s="8">
        <v>3900</v>
      </c>
      <c r="E147" s="8">
        <v>26</v>
      </c>
      <c r="F147" s="8">
        <v>8</v>
      </c>
      <c r="G147" s="8">
        <v>17</v>
      </c>
      <c r="H147" s="8">
        <v>14</v>
      </c>
      <c r="I147" s="8">
        <v>17</v>
      </c>
      <c r="J147" s="8">
        <v>8</v>
      </c>
      <c r="K147" s="8">
        <v>10</v>
      </c>
      <c r="L147" s="14" t="s">
        <v>335</v>
      </c>
    </row>
    <row r="148" spans="1:12" x14ac:dyDescent="0.3">
      <c r="A148" s="8" t="s">
        <v>336</v>
      </c>
      <c r="B148" s="11" t="s">
        <v>337</v>
      </c>
      <c r="C148" s="6" t="s">
        <v>50</v>
      </c>
      <c r="D148" s="8">
        <v>4500</v>
      </c>
      <c r="E148" s="8">
        <v>90</v>
      </c>
      <c r="F148" s="8">
        <v>0</v>
      </c>
      <c r="G148" s="8">
        <v>30</v>
      </c>
      <c r="H148" s="8">
        <v>20</v>
      </c>
      <c r="I148" s="8">
        <v>0</v>
      </c>
      <c r="J148" s="8">
        <v>0</v>
      </c>
      <c r="K148" s="8">
        <v>0</v>
      </c>
      <c r="L148" s="14" t="s">
        <v>335</v>
      </c>
    </row>
    <row r="149" spans="1:12" x14ac:dyDescent="0.3">
      <c r="A149" s="8" t="s">
        <v>338</v>
      </c>
      <c r="B149" s="16" t="s">
        <v>339</v>
      </c>
      <c r="C149" s="6" t="s">
        <v>41</v>
      </c>
      <c r="D149" s="8">
        <v>5500</v>
      </c>
      <c r="E149" s="8">
        <v>22</v>
      </c>
      <c r="F149" s="8">
        <v>12</v>
      </c>
      <c r="G149" s="8">
        <v>12</v>
      </c>
      <c r="H149" s="8">
        <v>8</v>
      </c>
      <c r="I149" s="8">
        <v>14</v>
      </c>
      <c r="J149" s="8">
        <v>8</v>
      </c>
      <c r="K149" s="8">
        <v>25</v>
      </c>
      <c r="L149" s="14" t="s">
        <v>340</v>
      </c>
    </row>
    <row r="150" spans="1:12" x14ac:dyDescent="0.3">
      <c r="A150" s="8" t="s">
        <v>341</v>
      </c>
      <c r="B150" s="18" t="s">
        <v>342</v>
      </c>
      <c r="C150" s="6" t="s">
        <v>23</v>
      </c>
      <c r="D150" s="8">
        <v>6000</v>
      </c>
      <c r="E150" s="8">
        <v>115</v>
      </c>
      <c r="F150" s="8">
        <v>6</v>
      </c>
      <c r="G150" s="8">
        <v>40</v>
      </c>
      <c r="H150" s="8">
        <v>16</v>
      </c>
      <c r="I150" s="8">
        <v>8</v>
      </c>
      <c r="J150" s="8">
        <v>6</v>
      </c>
      <c r="K150" s="8">
        <v>8</v>
      </c>
      <c r="L150" s="14" t="s">
        <v>343</v>
      </c>
    </row>
    <row r="151" spans="1:12" x14ac:dyDescent="0.3">
      <c r="A151" s="8" t="s">
        <v>344</v>
      </c>
      <c r="B151" s="18" t="s">
        <v>345</v>
      </c>
      <c r="C151" s="6" t="s">
        <v>32</v>
      </c>
      <c r="D151" s="8">
        <v>4800</v>
      </c>
      <c r="E151" s="8">
        <v>24</v>
      </c>
      <c r="F151" s="8">
        <v>10</v>
      </c>
      <c r="G151" s="8">
        <v>10</v>
      </c>
      <c r="H151" s="8">
        <v>30</v>
      </c>
      <c r="I151" s="8">
        <v>20</v>
      </c>
      <c r="J151" s="8">
        <v>9</v>
      </c>
      <c r="K151" s="8">
        <v>16</v>
      </c>
      <c r="L151" s="14" t="s">
        <v>346</v>
      </c>
    </row>
    <row r="152" spans="1:12" x14ac:dyDescent="0.3">
      <c r="A152" s="8" t="s">
        <v>347</v>
      </c>
      <c r="B152" s="18" t="s">
        <v>348</v>
      </c>
      <c r="C152" s="6" t="s">
        <v>14</v>
      </c>
      <c r="D152" s="8">
        <v>5800</v>
      </c>
      <c r="E152" s="8">
        <v>45</v>
      </c>
      <c r="F152" s="8">
        <v>39</v>
      </c>
      <c r="G152" s="8">
        <v>12</v>
      </c>
      <c r="H152" s="8">
        <v>10</v>
      </c>
      <c r="I152" s="8">
        <v>15</v>
      </c>
      <c r="J152" s="8">
        <v>16</v>
      </c>
      <c r="K152" s="8">
        <v>10</v>
      </c>
      <c r="L152" s="14" t="s">
        <v>349</v>
      </c>
    </row>
    <row r="153" spans="1:12" x14ac:dyDescent="0.3">
      <c r="A153" s="8" t="s">
        <v>350</v>
      </c>
      <c r="B153" s="11" t="s">
        <v>351</v>
      </c>
      <c r="C153" s="6" t="s">
        <v>32</v>
      </c>
      <c r="D153" s="8">
        <v>1850</v>
      </c>
      <c r="E153" s="8">
        <v>25</v>
      </c>
      <c r="F153" s="8">
        <v>2</v>
      </c>
      <c r="G153" s="8">
        <v>10</v>
      </c>
      <c r="H153" s="8">
        <v>2</v>
      </c>
      <c r="I153" s="8">
        <v>4</v>
      </c>
      <c r="J153" s="8">
        <v>4</v>
      </c>
      <c r="K153" s="8">
        <v>2</v>
      </c>
      <c r="L153" s="14"/>
    </row>
    <row r="154" spans="1:12" x14ac:dyDescent="0.3">
      <c r="A154" s="8" t="s">
        <v>352</v>
      </c>
      <c r="B154" s="11" t="s">
        <v>353</v>
      </c>
      <c r="C154" s="6" t="s">
        <v>14</v>
      </c>
      <c r="D154" s="8">
        <v>2100</v>
      </c>
      <c r="E154" s="8">
        <v>8</v>
      </c>
      <c r="F154" s="8">
        <v>28</v>
      </c>
      <c r="G154" s="8">
        <v>3</v>
      </c>
      <c r="H154" s="8">
        <v>0</v>
      </c>
      <c r="I154" s="8">
        <v>8</v>
      </c>
      <c r="J154" s="8">
        <v>6</v>
      </c>
      <c r="K154" s="8">
        <v>0</v>
      </c>
      <c r="L154" s="12" t="s">
        <v>354</v>
      </c>
    </row>
    <row r="155" spans="1:12" x14ac:dyDescent="0.3">
      <c r="A155" s="8" t="s">
        <v>355</v>
      </c>
      <c r="B155" s="11" t="s">
        <v>356</v>
      </c>
      <c r="C155" s="6" t="s">
        <v>50</v>
      </c>
      <c r="D155" s="8">
        <v>2000</v>
      </c>
      <c r="E155" s="8">
        <v>26</v>
      </c>
      <c r="F155" s="8">
        <v>1</v>
      </c>
      <c r="G155" s="8">
        <v>8</v>
      </c>
      <c r="H155" s="8">
        <v>8</v>
      </c>
      <c r="I155" s="8">
        <v>5</v>
      </c>
      <c r="J155" s="8">
        <v>2</v>
      </c>
      <c r="K155" s="8">
        <v>3</v>
      </c>
      <c r="L155" s="12" t="s">
        <v>354</v>
      </c>
    </row>
    <row r="156" spans="1:12" x14ac:dyDescent="0.3">
      <c r="A156" s="8" t="s">
        <v>357</v>
      </c>
      <c r="B156" s="11" t="s">
        <v>358</v>
      </c>
      <c r="C156" s="6" t="s">
        <v>32</v>
      </c>
      <c r="D156" s="8">
        <v>1750</v>
      </c>
      <c r="E156" s="8">
        <v>14</v>
      </c>
      <c r="F156" s="8">
        <v>3</v>
      </c>
      <c r="G156" s="8">
        <v>7</v>
      </c>
      <c r="H156" s="8">
        <v>10</v>
      </c>
      <c r="I156" s="8">
        <v>6</v>
      </c>
      <c r="J156" s="8">
        <v>2</v>
      </c>
      <c r="K156" s="8">
        <v>5</v>
      </c>
      <c r="L156" s="12" t="s">
        <v>359</v>
      </c>
    </row>
    <row r="157" spans="1:12" x14ac:dyDescent="0.3">
      <c r="A157" s="8" t="s">
        <v>360</v>
      </c>
      <c r="B157" s="11" t="s">
        <v>361</v>
      </c>
      <c r="C157" s="6" t="s">
        <v>23</v>
      </c>
      <c r="D157" s="8">
        <v>2050</v>
      </c>
      <c r="E157" s="8">
        <v>45</v>
      </c>
      <c r="F157" s="8">
        <v>6</v>
      </c>
      <c r="G157" s="8">
        <v>16</v>
      </c>
      <c r="H157" s="8">
        <v>5</v>
      </c>
      <c r="I157" s="8">
        <v>4</v>
      </c>
      <c r="J157" s="8">
        <v>3</v>
      </c>
      <c r="K157" s="8">
        <v>5</v>
      </c>
      <c r="L157" s="12" t="s">
        <v>362</v>
      </c>
    </row>
    <row r="158" spans="1:12" x14ac:dyDescent="0.3">
      <c r="A158" s="8" t="s">
        <v>363</v>
      </c>
      <c r="B158" s="11" t="s">
        <v>364</v>
      </c>
      <c r="C158" s="6" t="s">
        <v>41</v>
      </c>
      <c r="D158" s="8">
        <v>1600</v>
      </c>
      <c r="E158" s="8">
        <v>8</v>
      </c>
      <c r="F158" s="8">
        <v>4</v>
      </c>
      <c r="G158" s="8">
        <v>6</v>
      </c>
      <c r="H158" s="8">
        <v>3</v>
      </c>
      <c r="I158" s="8">
        <v>6</v>
      </c>
      <c r="J158" s="8">
        <v>2</v>
      </c>
      <c r="K158" s="8">
        <v>8</v>
      </c>
      <c r="L158" s="12" t="s">
        <v>359</v>
      </c>
    </row>
    <row r="159" spans="1:12" x14ac:dyDescent="0.3">
      <c r="A159" s="8" t="s">
        <v>365</v>
      </c>
      <c r="B159" s="11" t="s">
        <v>366</v>
      </c>
      <c r="C159" s="6" t="s">
        <v>32</v>
      </c>
      <c r="D159" s="8">
        <v>2500</v>
      </c>
      <c r="E159" s="8">
        <v>16</v>
      </c>
      <c r="F159" s="8">
        <v>3</v>
      </c>
      <c r="G159" s="8">
        <v>11</v>
      </c>
      <c r="H159" s="8">
        <v>18</v>
      </c>
      <c r="I159" s="8">
        <v>6</v>
      </c>
      <c r="J159" s="8">
        <v>3</v>
      </c>
      <c r="K159" s="8">
        <v>7</v>
      </c>
      <c r="L159" s="12" t="s">
        <v>367</v>
      </c>
    </row>
    <row r="160" spans="1:12" x14ac:dyDescent="0.3">
      <c r="A160" s="8" t="s">
        <v>368</v>
      </c>
      <c r="B160" s="11" t="s">
        <v>369</v>
      </c>
      <c r="C160" s="6" t="s">
        <v>50</v>
      </c>
      <c r="D160" s="8">
        <v>2400</v>
      </c>
      <c r="E160" s="8">
        <v>5</v>
      </c>
      <c r="F160" s="8">
        <v>6</v>
      </c>
      <c r="G160" s="8">
        <v>3</v>
      </c>
      <c r="H160" s="8">
        <v>25</v>
      </c>
      <c r="I160" s="8">
        <v>7</v>
      </c>
      <c r="J160" s="8">
        <v>4</v>
      </c>
      <c r="K160" s="8">
        <v>4</v>
      </c>
      <c r="L160" s="12" t="s">
        <v>370</v>
      </c>
    </row>
    <row r="161" spans="1:12" x14ac:dyDescent="0.3">
      <c r="A161" s="8" t="s">
        <v>371</v>
      </c>
      <c r="B161" s="11" t="s">
        <v>372</v>
      </c>
      <c r="C161" s="6" t="s">
        <v>23</v>
      </c>
      <c r="D161" s="8">
        <v>3400</v>
      </c>
      <c r="E161" s="8">
        <v>60</v>
      </c>
      <c r="F161" s="8">
        <v>5</v>
      </c>
      <c r="G161" s="8">
        <v>25</v>
      </c>
      <c r="H161" s="8">
        <v>5</v>
      </c>
      <c r="I161" s="8">
        <v>4</v>
      </c>
      <c r="J161" s="8">
        <v>1</v>
      </c>
      <c r="K161" s="8">
        <v>5</v>
      </c>
      <c r="L161" s="12" t="s">
        <v>373</v>
      </c>
    </row>
    <row r="162" spans="1:12" x14ac:dyDescent="0.3">
      <c r="A162" s="8" t="s">
        <v>374</v>
      </c>
      <c r="B162" s="11" t="s">
        <v>375</v>
      </c>
      <c r="C162" s="6" t="s">
        <v>14</v>
      </c>
      <c r="D162" s="8">
        <v>2950</v>
      </c>
      <c r="E162" s="8">
        <v>14</v>
      </c>
      <c r="F162" s="8">
        <v>29</v>
      </c>
      <c r="G162" s="8">
        <v>4</v>
      </c>
      <c r="H162" s="8">
        <v>5</v>
      </c>
      <c r="I162" s="8">
        <v>10</v>
      </c>
      <c r="J162" s="8">
        <v>8</v>
      </c>
      <c r="K162" s="8">
        <v>2</v>
      </c>
      <c r="L162" s="12" t="s">
        <v>376</v>
      </c>
    </row>
    <row r="163" spans="1:12" x14ac:dyDescent="0.3">
      <c r="A163" s="8" t="s">
        <v>377</v>
      </c>
      <c r="B163" s="11" t="s">
        <v>378</v>
      </c>
      <c r="C163" s="6" t="s">
        <v>50</v>
      </c>
      <c r="D163" s="8">
        <v>3100</v>
      </c>
      <c r="E163" s="8">
        <v>8</v>
      </c>
      <c r="F163" s="8">
        <v>10</v>
      </c>
      <c r="G163" s="8">
        <v>5</v>
      </c>
      <c r="H163" s="8">
        <v>15</v>
      </c>
      <c r="I163" s="8">
        <v>8</v>
      </c>
      <c r="J163" s="8">
        <v>6</v>
      </c>
      <c r="K163" s="8">
        <v>15</v>
      </c>
      <c r="L163" s="12" t="s">
        <v>379</v>
      </c>
    </row>
    <row r="164" spans="1:12" x14ac:dyDescent="0.3">
      <c r="A164" s="8" t="s">
        <v>380</v>
      </c>
      <c r="B164" s="11" t="s">
        <v>381</v>
      </c>
      <c r="C164" s="6" t="s">
        <v>32</v>
      </c>
      <c r="D164" s="8">
        <v>2900</v>
      </c>
      <c r="E164" s="8">
        <v>15</v>
      </c>
      <c r="F164" s="8">
        <v>3</v>
      </c>
      <c r="G164" s="8">
        <v>11</v>
      </c>
      <c r="H164" s="8">
        <v>15</v>
      </c>
      <c r="I164" s="8">
        <v>10</v>
      </c>
      <c r="J164" s="8">
        <v>5</v>
      </c>
      <c r="K164" s="8">
        <v>11</v>
      </c>
      <c r="L164" s="12" t="s">
        <v>379</v>
      </c>
    </row>
    <row r="165" spans="1:12" x14ac:dyDescent="0.3">
      <c r="A165" s="8" t="s">
        <v>382</v>
      </c>
      <c r="B165" s="11" t="s">
        <v>383</v>
      </c>
      <c r="C165" s="6" t="s">
        <v>32</v>
      </c>
      <c r="D165" s="8">
        <v>3150</v>
      </c>
      <c r="E165" s="8">
        <v>8</v>
      </c>
      <c r="F165" s="8">
        <v>10</v>
      </c>
      <c r="G165" s="8">
        <v>9</v>
      </c>
      <c r="H165" s="8">
        <v>5</v>
      </c>
      <c r="I165" s="8">
        <v>15</v>
      </c>
      <c r="J165" s="8">
        <v>7</v>
      </c>
      <c r="K165" s="8">
        <v>12</v>
      </c>
      <c r="L165" s="12" t="s">
        <v>384</v>
      </c>
    </row>
    <row r="166" spans="1:12" x14ac:dyDescent="0.3">
      <c r="A166" s="8" t="s">
        <v>385</v>
      </c>
      <c r="B166" s="11" t="s">
        <v>386</v>
      </c>
      <c r="C166" s="6" t="s">
        <v>23</v>
      </c>
      <c r="D166" s="8">
        <v>4100</v>
      </c>
      <c r="E166" s="8">
        <v>90</v>
      </c>
      <c r="F166" s="8">
        <v>8</v>
      </c>
      <c r="G166" s="8">
        <v>28</v>
      </c>
      <c r="H166" s="8">
        <v>8</v>
      </c>
      <c r="I166" s="8">
        <v>9</v>
      </c>
      <c r="J166" s="8">
        <v>2</v>
      </c>
      <c r="K166" s="8">
        <v>7</v>
      </c>
      <c r="L166" s="12" t="s">
        <v>387</v>
      </c>
    </row>
    <row r="167" spans="1:12" x14ac:dyDescent="0.3">
      <c r="A167" s="8" t="s">
        <v>388</v>
      </c>
      <c r="B167" s="11" t="s">
        <v>389</v>
      </c>
      <c r="C167" s="6" t="s">
        <v>41</v>
      </c>
      <c r="D167" s="8">
        <v>3500</v>
      </c>
      <c r="E167" s="8">
        <v>12</v>
      </c>
      <c r="F167" s="8">
        <v>3</v>
      </c>
      <c r="G167" s="8">
        <v>10</v>
      </c>
      <c r="H167" s="8">
        <v>22</v>
      </c>
      <c r="I167" s="8">
        <v>12</v>
      </c>
      <c r="J167" s="8">
        <v>4</v>
      </c>
      <c r="K167" s="8">
        <v>25</v>
      </c>
      <c r="L167" s="12" t="s">
        <v>390</v>
      </c>
    </row>
    <row r="168" spans="1:12" x14ac:dyDescent="0.3">
      <c r="A168" s="8" t="s">
        <v>391</v>
      </c>
      <c r="B168" s="11" t="s">
        <v>392</v>
      </c>
      <c r="C168" s="6" t="s">
        <v>50</v>
      </c>
      <c r="D168" s="8">
        <v>3150</v>
      </c>
      <c r="E168" s="8">
        <v>15</v>
      </c>
      <c r="F168" s="8">
        <v>8</v>
      </c>
      <c r="G168" s="8">
        <v>7</v>
      </c>
      <c r="H168" s="8">
        <v>18</v>
      </c>
      <c r="I168" s="8">
        <v>10</v>
      </c>
      <c r="J168" s="8">
        <v>5</v>
      </c>
      <c r="K168" s="8">
        <v>13</v>
      </c>
      <c r="L168" s="12" t="s">
        <v>393</v>
      </c>
    </row>
    <row r="169" spans="1:12" x14ac:dyDescent="0.3">
      <c r="A169" s="8" t="s">
        <v>394</v>
      </c>
      <c r="B169" s="11" t="s">
        <v>395</v>
      </c>
      <c r="C169" s="6" t="s">
        <v>32</v>
      </c>
      <c r="D169" s="8">
        <v>3150</v>
      </c>
      <c r="E169" s="8">
        <v>16</v>
      </c>
      <c r="F169" s="8">
        <v>4</v>
      </c>
      <c r="G169" s="8">
        <v>15</v>
      </c>
      <c r="H169" s="8">
        <v>24</v>
      </c>
      <c r="I169" s="8">
        <v>9</v>
      </c>
      <c r="J169" s="8">
        <v>6</v>
      </c>
      <c r="K169" s="8">
        <v>11</v>
      </c>
      <c r="L169" s="12" t="s">
        <v>396</v>
      </c>
    </row>
    <row r="170" spans="1:12" x14ac:dyDescent="0.3">
      <c r="A170" s="8" t="s">
        <v>397</v>
      </c>
      <c r="B170" s="11" t="s">
        <v>398</v>
      </c>
      <c r="C170" s="6" t="s">
        <v>41</v>
      </c>
      <c r="D170" s="8">
        <v>3300</v>
      </c>
      <c r="E170" s="8">
        <v>25</v>
      </c>
      <c r="F170" s="8">
        <v>2</v>
      </c>
      <c r="G170" s="8">
        <v>16</v>
      </c>
      <c r="H170" s="8">
        <v>18</v>
      </c>
      <c r="I170" s="8">
        <v>10</v>
      </c>
      <c r="J170" s="8">
        <v>3</v>
      </c>
      <c r="K170" s="8">
        <v>16</v>
      </c>
      <c r="L170" s="12" t="s">
        <v>399</v>
      </c>
    </row>
    <row r="171" spans="1:12" x14ac:dyDescent="0.3">
      <c r="A171" s="8" t="s">
        <v>400</v>
      </c>
      <c r="B171" s="11" t="s">
        <v>401</v>
      </c>
      <c r="C171" s="6" t="s">
        <v>14</v>
      </c>
      <c r="D171" s="8">
        <v>4000</v>
      </c>
      <c r="E171" s="8">
        <v>0</v>
      </c>
      <c r="F171" s="8">
        <v>42</v>
      </c>
      <c r="G171" s="8">
        <v>1</v>
      </c>
      <c r="H171" s="8">
        <v>5</v>
      </c>
      <c r="I171" s="8">
        <v>18</v>
      </c>
      <c r="J171" s="8">
        <v>12</v>
      </c>
      <c r="K171" s="8">
        <v>12</v>
      </c>
      <c r="L171" s="12" t="s">
        <v>402</v>
      </c>
    </row>
    <row r="172" spans="1:12" x14ac:dyDescent="0.3">
      <c r="A172" s="8" t="s">
        <v>403</v>
      </c>
      <c r="B172" s="11" t="s">
        <v>404</v>
      </c>
      <c r="C172" s="6" t="s">
        <v>50</v>
      </c>
      <c r="D172" s="8">
        <v>3000</v>
      </c>
      <c r="E172" s="8">
        <v>11</v>
      </c>
      <c r="F172" s="8">
        <v>12</v>
      </c>
      <c r="G172" s="8">
        <v>6</v>
      </c>
      <c r="H172" s="8">
        <v>20</v>
      </c>
      <c r="I172" s="8">
        <v>12</v>
      </c>
      <c r="J172" s="8">
        <v>6</v>
      </c>
      <c r="K172" s="8">
        <v>6</v>
      </c>
      <c r="L172" s="12" t="s">
        <v>405</v>
      </c>
    </row>
    <row r="173" spans="1:12" x14ac:dyDescent="0.3">
      <c r="A173" s="8" t="s">
        <v>406</v>
      </c>
      <c r="B173" s="11" t="s">
        <v>407</v>
      </c>
      <c r="C173" s="6" t="s">
        <v>50</v>
      </c>
      <c r="D173" s="8">
        <v>3000</v>
      </c>
      <c r="E173" s="8">
        <v>19</v>
      </c>
      <c r="F173" s="8">
        <v>5</v>
      </c>
      <c r="G173" s="8">
        <v>13</v>
      </c>
      <c r="H173" s="8">
        <v>20</v>
      </c>
      <c r="I173" s="8">
        <v>9</v>
      </c>
      <c r="J173" s="8">
        <v>2</v>
      </c>
      <c r="K173" s="8">
        <v>11</v>
      </c>
      <c r="L173" s="12" t="s">
        <v>408</v>
      </c>
    </row>
    <row r="174" spans="1:12" x14ac:dyDescent="0.3">
      <c r="A174" s="6">
        <v>172</v>
      </c>
      <c r="B174" s="18" t="s">
        <v>409</v>
      </c>
      <c r="C174" s="6" t="s">
        <v>32</v>
      </c>
      <c r="D174" s="8">
        <v>0</v>
      </c>
      <c r="E174" s="8">
        <v>22</v>
      </c>
      <c r="F174" s="8">
        <v>4</v>
      </c>
      <c r="G174" s="8">
        <v>11</v>
      </c>
      <c r="H174" s="8">
        <v>8</v>
      </c>
      <c r="I174" s="8">
        <v>7</v>
      </c>
      <c r="J174" s="8">
        <v>4</v>
      </c>
      <c r="K174" s="8">
        <v>2</v>
      </c>
      <c r="L174" s="12" t="s">
        <v>410</v>
      </c>
    </row>
    <row r="175" spans="1:12" x14ac:dyDescent="0.3">
      <c r="A175" s="6">
        <v>173</v>
      </c>
      <c r="B175" s="18" t="s">
        <v>411</v>
      </c>
      <c r="C175" s="6" t="s">
        <v>23</v>
      </c>
      <c r="D175" s="8">
        <v>0</v>
      </c>
      <c r="E175" s="8">
        <v>60</v>
      </c>
      <c r="F175" s="8">
        <v>6</v>
      </c>
      <c r="G175" s="8">
        <v>21</v>
      </c>
      <c r="H175" s="8">
        <v>5</v>
      </c>
      <c r="I175" s="8">
        <v>7</v>
      </c>
      <c r="J175" s="8">
        <v>1</v>
      </c>
      <c r="K175" s="8">
        <v>5</v>
      </c>
      <c r="L175" s="12" t="s">
        <v>412</v>
      </c>
    </row>
    <row r="176" spans="1:12" x14ac:dyDescent="0.3">
      <c r="A176" s="6">
        <v>174</v>
      </c>
      <c r="B176" s="18" t="s">
        <v>413</v>
      </c>
      <c r="C176" s="6" t="s">
        <v>50</v>
      </c>
      <c r="D176" s="8">
        <v>0</v>
      </c>
      <c r="E176" s="8">
        <v>8</v>
      </c>
      <c r="F176" s="8">
        <v>6</v>
      </c>
      <c r="G176" s="8">
        <v>4</v>
      </c>
      <c r="H176" s="8">
        <v>10</v>
      </c>
      <c r="I176" s="8">
        <v>12</v>
      </c>
      <c r="J176" s="8">
        <v>4</v>
      </c>
      <c r="K176" s="8">
        <v>5</v>
      </c>
      <c r="L176" s="12" t="s">
        <v>414</v>
      </c>
    </row>
    <row r="177" spans="1:12" x14ac:dyDescent="0.3">
      <c r="A177" s="6">
        <v>175</v>
      </c>
      <c r="B177" s="18" t="s">
        <v>415</v>
      </c>
      <c r="C177" s="6" t="s">
        <v>23</v>
      </c>
      <c r="D177" s="8">
        <v>0</v>
      </c>
      <c r="E177" s="8">
        <v>62</v>
      </c>
      <c r="F177" s="8">
        <v>5</v>
      </c>
      <c r="G177" s="8">
        <v>25</v>
      </c>
      <c r="H177" s="8">
        <v>5</v>
      </c>
      <c r="I177" s="8">
        <v>5</v>
      </c>
      <c r="J177" s="8">
        <v>1</v>
      </c>
      <c r="K177" s="8">
        <v>5</v>
      </c>
      <c r="L177" s="12" t="s">
        <v>416</v>
      </c>
    </row>
    <row r="178" spans="1:12" x14ac:dyDescent="0.3">
      <c r="A178" s="6">
        <v>176</v>
      </c>
      <c r="B178" s="18" t="s">
        <v>417</v>
      </c>
      <c r="C178" s="6" t="s">
        <v>14</v>
      </c>
      <c r="D178" s="8">
        <v>0</v>
      </c>
      <c r="E178" s="8">
        <v>12</v>
      </c>
      <c r="F178" s="8">
        <v>31</v>
      </c>
      <c r="G178" s="8">
        <v>5</v>
      </c>
      <c r="H178" s="8">
        <v>10</v>
      </c>
      <c r="I178" s="8">
        <v>14</v>
      </c>
      <c r="J178" s="8">
        <v>10</v>
      </c>
      <c r="K178" s="8">
        <v>3</v>
      </c>
      <c r="L178" s="12" t="s">
        <v>418</v>
      </c>
    </row>
    <row r="179" spans="1:12" x14ac:dyDescent="0.3">
      <c r="A179" s="6">
        <v>177</v>
      </c>
      <c r="B179" s="18" t="s">
        <v>419</v>
      </c>
      <c r="C179" s="6" t="s">
        <v>41</v>
      </c>
      <c r="D179" s="8">
        <v>0</v>
      </c>
      <c r="E179" s="8">
        <v>10</v>
      </c>
      <c r="F179" s="8">
        <v>6</v>
      </c>
      <c r="G179" s="8">
        <v>9</v>
      </c>
      <c r="H179" s="8">
        <v>10</v>
      </c>
      <c r="I179" s="8">
        <v>8</v>
      </c>
      <c r="J179" s="8">
        <v>5</v>
      </c>
      <c r="K179" s="8">
        <v>12</v>
      </c>
      <c r="L179" s="12" t="s">
        <v>420</v>
      </c>
    </row>
    <row r="180" spans="1:12" x14ac:dyDescent="0.3">
      <c r="A180" s="6">
        <v>178</v>
      </c>
      <c r="B180" s="18" t="s">
        <v>421</v>
      </c>
      <c r="C180" s="6" t="s">
        <v>23</v>
      </c>
      <c r="D180" s="8">
        <v>0</v>
      </c>
      <c r="E180" s="8">
        <v>72</v>
      </c>
      <c r="F180" s="8">
        <v>8</v>
      </c>
      <c r="G180" s="8">
        <v>22</v>
      </c>
      <c r="H180" s="8">
        <v>10</v>
      </c>
      <c r="I180" s="8">
        <v>8</v>
      </c>
      <c r="J180" s="8">
        <v>4</v>
      </c>
      <c r="K180" s="8">
        <v>10</v>
      </c>
      <c r="L180" s="12" t="s">
        <v>422</v>
      </c>
    </row>
    <row r="181" spans="1:12" x14ac:dyDescent="0.3">
      <c r="A181" s="6">
        <v>179</v>
      </c>
      <c r="B181" s="18" t="s">
        <v>423</v>
      </c>
      <c r="C181" s="6" t="s">
        <v>14</v>
      </c>
      <c r="D181" s="8">
        <v>0</v>
      </c>
      <c r="E181" s="8">
        <v>3</v>
      </c>
      <c r="F181" s="8">
        <v>36</v>
      </c>
      <c r="G181" s="8">
        <v>2</v>
      </c>
      <c r="H181" s="8">
        <v>12</v>
      </c>
      <c r="I181" s="8">
        <v>16</v>
      </c>
      <c r="J181" s="8">
        <v>14</v>
      </c>
      <c r="K181" s="8">
        <v>15</v>
      </c>
      <c r="L181" s="12" t="s">
        <v>424</v>
      </c>
    </row>
    <row r="182" spans="1:12" x14ac:dyDescent="0.3">
      <c r="A182" s="6">
        <v>180</v>
      </c>
      <c r="B182" s="18" t="s">
        <v>425</v>
      </c>
      <c r="C182" s="6" t="s">
        <v>14</v>
      </c>
      <c r="D182" s="8">
        <v>0</v>
      </c>
      <c r="E182" s="8">
        <v>3</v>
      </c>
      <c r="F182" s="8">
        <v>42</v>
      </c>
      <c r="G182" s="8">
        <v>1</v>
      </c>
      <c r="H182" s="8">
        <v>16</v>
      </c>
      <c r="I182" s="8">
        <v>16</v>
      </c>
      <c r="J182" s="8">
        <v>12</v>
      </c>
      <c r="K182" s="8">
        <v>17</v>
      </c>
      <c r="L182" s="12" t="s">
        <v>426</v>
      </c>
    </row>
    <row r="183" spans="1:12" x14ac:dyDescent="0.3">
      <c r="A183" s="6">
        <v>181</v>
      </c>
      <c r="B183" s="18" t="s">
        <v>427</v>
      </c>
      <c r="C183" s="6" t="s">
        <v>14</v>
      </c>
      <c r="D183" s="8">
        <v>0</v>
      </c>
      <c r="E183" s="8">
        <v>0</v>
      </c>
      <c r="F183" s="8">
        <v>39</v>
      </c>
      <c r="G183" s="8">
        <v>0</v>
      </c>
      <c r="H183" s="8">
        <v>3</v>
      </c>
      <c r="I183" s="8">
        <v>14</v>
      </c>
      <c r="J183" s="8">
        <v>16</v>
      </c>
      <c r="K183" s="8">
        <v>8</v>
      </c>
      <c r="L183" s="12" t="s">
        <v>428</v>
      </c>
    </row>
    <row r="184" spans="1:12" x14ac:dyDescent="0.3">
      <c r="A184" s="6">
        <v>182</v>
      </c>
      <c r="B184" s="18" t="s">
        <v>429</v>
      </c>
      <c r="C184" s="6" t="s">
        <v>41</v>
      </c>
      <c r="D184" s="8">
        <v>0</v>
      </c>
      <c r="E184" s="8">
        <v>28</v>
      </c>
      <c r="F184" s="8">
        <v>4</v>
      </c>
      <c r="G184" s="8">
        <v>16</v>
      </c>
      <c r="H184" s="8">
        <v>22</v>
      </c>
      <c r="I184" s="8">
        <v>12</v>
      </c>
      <c r="J184" s="8">
        <v>5</v>
      </c>
      <c r="K184" s="8">
        <v>22</v>
      </c>
      <c r="L184" s="12" t="s">
        <v>430</v>
      </c>
    </row>
    <row r="185" spans="1:12" x14ac:dyDescent="0.3">
      <c r="A185" s="6">
        <v>183</v>
      </c>
      <c r="B185" s="18" t="s">
        <v>431</v>
      </c>
      <c r="C185" s="6" t="s">
        <v>14</v>
      </c>
      <c r="D185" s="8">
        <v>0</v>
      </c>
      <c r="E185" s="8">
        <v>3</v>
      </c>
      <c r="F185" s="8">
        <v>43</v>
      </c>
      <c r="G185" s="8">
        <v>1</v>
      </c>
      <c r="H185" s="8">
        <v>18</v>
      </c>
      <c r="I185" s="8">
        <v>20</v>
      </c>
      <c r="J185" s="8">
        <v>18</v>
      </c>
      <c r="K185" s="8">
        <v>14</v>
      </c>
      <c r="L185" s="12" t="s">
        <v>432</v>
      </c>
    </row>
    <row r="186" spans="1:12" x14ac:dyDescent="0.3">
      <c r="A186" s="6">
        <v>184</v>
      </c>
      <c r="B186" s="18" t="s">
        <v>433</v>
      </c>
      <c r="C186" s="6" t="s">
        <v>50</v>
      </c>
      <c r="D186" s="8">
        <v>0</v>
      </c>
      <c r="E186" s="8">
        <v>25</v>
      </c>
      <c r="F186" s="8">
        <v>8</v>
      </c>
      <c r="G186" s="8">
        <v>15</v>
      </c>
      <c r="H186" s="8">
        <v>30</v>
      </c>
      <c r="I186" s="8">
        <v>10</v>
      </c>
      <c r="J186" s="8">
        <v>6</v>
      </c>
      <c r="K186" s="8">
        <v>12</v>
      </c>
      <c r="L186" s="12" t="s">
        <v>434</v>
      </c>
    </row>
    <row r="187" spans="1:12" x14ac:dyDescent="0.3">
      <c r="A187" s="6">
        <v>185</v>
      </c>
      <c r="B187" s="18" t="s">
        <v>435</v>
      </c>
      <c r="C187" s="6" t="s">
        <v>23</v>
      </c>
      <c r="D187" s="8">
        <v>0</v>
      </c>
      <c r="E187" s="8">
        <v>90</v>
      </c>
      <c r="F187" s="8">
        <v>12</v>
      </c>
      <c r="G187" s="8">
        <v>28</v>
      </c>
      <c r="H187" s="8">
        <v>25</v>
      </c>
      <c r="I187" s="8">
        <v>10</v>
      </c>
      <c r="J187" s="8">
        <v>5</v>
      </c>
      <c r="K187" s="8">
        <v>14</v>
      </c>
      <c r="L187" s="12" t="s">
        <v>436</v>
      </c>
    </row>
    <row r="188" spans="1:12" x14ac:dyDescent="0.3">
      <c r="A188" s="6">
        <v>186</v>
      </c>
      <c r="B188" s="18" t="s">
        <v>437</v>
      </c>
      <c r="C188" s="6" t="s">
        <v>14</v>
      </c>
      <c r="D188" s="8">
        <v>0</v>
      </c>
      <c r="E188" s="8">
        <v>12</v>
      </c>
      <c r="F188" s="8">
        <v>42</v>
      </c>
      <c r="G188" s="8">
        <v>7</v>
      </c>
      <c r="H188" s="8">
        <v>46</v>
      </c>
      <c r="I188" s="8">
        <v>17</v>
      </c>
      <c r="J188" s="8">
        <v>13</v>
      </c>
      <c r="K188" s="8">
        <v>14</v>
      </c>
      <c r="L188" s="12" t="s">
        <v>438</v>
      </c>
    </row>
    <row r="189" spans="1:12" x14ac:dyDescent="0.3">
      <c r="A189" s="6">
        <v>187</v>
      </c>
      <c r="B189" s="9" t="s">
        <v>439</v>
      </c>
      <c r="C189" s="6" t="s">
        <v>32</v>
      </c>
      <c r="D189" s="8">
        <v>2300</v>
      </c>
      <c r="E189" s="8">
        <v>15</v>
      </c>
      <c r="F189" s="8">
        <v>5</v>
      </c>
      <c r="G189" s="8">
        <v>10</v>
      </c>
      <c r="H189" s="8">
        <v>10</v>
      </c>
      <c r="I189" s="8">
        <v>10</v>
      </c>
      <c r="J189" s="8">
        <v>3</v>
      </c>
      <c r="K189" s="8">
        <v>5</v>
      </c>
    </row>
    <row r="190" spans="1:12" x14ac:dyDescent="0.3">
      <c r="A190" s="6">
        <v>188</v>
      </c>
      <c r="B190" s="9" t="s">
        <v>440</v>
      </c>
      <c r="C190" s="6" t="s">
        <v>23</v>
      </c>
      <c r="D190" s="8">
        <v>2300</v>
      </c>
      <c r="E190" s="8">
        <v>90</v>
      </c>
      <c r="F190" s="8">
        <v>0</v>
      </c>
      <c r="G190" s="8">
        <v>25</v>
      </c>
      <c r="H190" s="8">
        <v>5</v>
      </c>
      <c r="I190" s="8">
        <v>2</v>
      </c>
      <c r="J190" s="8">
        <v>1</v>
      </c>
      <c r="K190" s="8">
        <v>3</v>
      </c>
    </row>
    <row r="191" spans="1:12" x14ac:dyDescent="0.3">
      <c r="A191" s="6">
        <v>189</v>
      </c>
      <c r="B191" s="9" t="s">
        <v>441</v>
      </c>
      <c r="C191" s="6" t="s">
        <v>14</v>
      </c>
      <c r="D191" s="8">
        <v>2300</v>
      </c>
      <c r="E191" s="8">
        <v>0</v>
      </c>
      <c r="F191" s="8">
        <v>31</v>
      </c>
      <c r="G191" s="8">
        <v>0</v>
      </c>
      <c r="H191" s="8">
        <v>0</v>
      </c>
      <c r="I191" s="8">
        <v>12</v>
      </c>
      <c r="J191" s="8">
        <v>6</v>
      </c>
      <c r="K191" s="8">
        <v>9</v>
      </c>
    </row>
    <row r="192" spans="1:12" x14ac:dyDescent="0.3">
      <c r="A192" s="6">
        <v>190</v>
      </c>
      <c r="B192" s="9" t="s">
        <v>442</v>
      </c>
      <c r="C192" s="6" t="s">
        <v>41</v>
      </c>
      <c r="D192" s="8">
        <v>2300</v>
      </c>
      <c r="E192" s="8">
        <v>12</v>
      </c>
      <c r="F192" s="8">
        <v>3</v>
      </c>
      <c r="G192" s="8">
        <v>9</v>
      </c>
      <c r="H192" s="8">
        <v>5</v>
      </c>
      <c r="I192" s="8">
        <v>8</v>
      </c>
      <c r="J192" s="8">
        <v>2</v>
      </c>
      <c r="K192" s="8">
        <v>12</v>
      </c>
    </row>
    <row r="193" spans="1:12" x14ac:dyDescent="0.3">
      <c r="A193" s="6">
        <v>191</v>
      </c>
      <c r="B193" s="9" t="s">
        <v>443</v>
      </c>
      <c r="C193" s="6" t="s">
        <v>50</v>
      </c>
      <c r="D193" s="8">
        <v>2300</v>
      </c>
      <c r="E193" s="8">
        <v>10</v>
      </c>
      <c r="F193" s="8">
        <v>5</v>
      </c>
      <c r="G193" s="8">
        <v>5</v>
      </c>
      <c r="H193" s="8">
        <v>12</v>
      </c>
      <c r="I193" s="8">
        <v>7</v>
      </c>
      <c r="J193" s="8">
        <v>5</v>
      </c>
      <c r="K193" s="8">
        <v>6</v>
      </c>
    </row>
    <row r="194" spans="1:12" x14ac:dyDescent="0.3">
      <c r="A194" s="6">
        <v>192</v>
      </c>
      <c r="B194" s="10" t="s">
        <v>444</v>
      </c>
      <c r="C194" s="6" t="s">
        <v>32</v>
      </c>
      <c r="D194" s="8">
        <v>3500</v>
      </c>
      <c r="E194" s="8">
        <v>24</v>
      </c>
      <c r="F194" s="8">
        <v>5</v>
      </c>
      <c r="G194" s="8">
        <v>16</v>
      </c>
      <c r="H194" s="8">
        <v>20</v>
      </c>
      <c r="I194" s="8">
        <v>7</v>
      </c>
      <c r="J194" s="8">
        <v>2</v>
      </c>
      <c r="K194" s="8">
        <v>8</v>
      </c>
    </row>
    <row r="195" spans="1:12" x14ac:dyDescent="0.3">
      <c r="A195" s="6">
        <v>193</v>
      </c>
      <c r="B195" s="10" t="s">
        <v>445</v>
      </c>
      <c r="C195" s="6" t="s">
        <v>23</v>
      </c>
      <c r="D195" s="8">
        <v>3500</v>
      </c>
      <c r="E195" s="8">
        <v>75</v>
      </c>
      <c r="F195" s="8">
        <v>3</v>
      </c>
      <c r="G195" s="8">
        <v>28</v>
      </c>
      <c r="H195" s="8">
        <v>5</v>
      </c>
      <c r="I195" s="8">
        <v>9</v>
      </c>
      <c r="J195" s="8">
        <v>6</v>
      </c>
      <c r="K195" s="8">
        <v>10</v>
      </c>
    </row>
    <row r="196" spans="1:12" x14ac:dyDescent="0.3">
      <c r="A196" s="6">
        <v>194</v>
      </c>
      <c r="B196" s="10" t="s">
        <v>446</v>
      </c>
      <c r="C196" s="6" t="s">
        <v>41</v>
      </c>
      <c r="D196" s="8">
        <v>3500</v>
      </c>
      <c r="E196" s="8">
        <v>26</v>
      </c>
      <c r="F196" s="8">
        <v>4</v>
      </c>
      <c r="G196" s="8">
        <v>14</v>
      </c>
      <c r="H196" s="8">
        <v>8</v>
      </c>
      <c r="I196" s="8">
        <v>7</v>
      </c>
      <c r="J196" s="8">
        <v>2</v>
      </c>
      <c r="K196" s="8">
        <v>14</v>
      </c>
    </row>
    <row r="197" spans="1:12" x14ac:dyDescent="0.3">
      <c r="A197" s="6">
        <v>195</v>
      </c>
      <c r="B197" s="10" t="s">
        <v>447</v>
      </c>
      <c r="C197" s="6" t="s">
        <v>50</v>
      </c>
      <c r="D197" s="8">
        <v>3500</v>
      </c>
      <c r="E197" s="8">
        <v>25</v>
      </c>
      <c r="F197" s="8">
        <v>10</v>
      </c>
      <c r="G197" s="8">
        <v>10</v>
      </c>
      <c r="H197" s="8">
        <v>0</v>
      </c>
      <c r="I197" s="8">
        <v>10</v>
      </c>
      <c r="J197" s="8">
        <v>0</v>
      </c>
      <c r="K197" s="8">
        <v>10</v>
      </c>
    </row>
    <row r="198" spans="1:12" x14ac:dyDescent="0.3">
      <c r="A198" s="6">
        <v>196</v>
      </c>
      <c r="B198" s="11" t="s">
        <v>448</v>
      </c>
      <c r="C198" s="6" t="s">
        <v>32</v>
      </c>
      <c r="D198" s="8">
        <v>4400</v>
      </c>
      <c r="E198" s="8">
        <v>25</v>
      </c>
      <c r="F198" s="8">
        <v>18</v>
      </c>
      <c r="G198" s="8">
        <v>14</v>
      </c>
      <c r="H198" s="8">
        <v>12</v>
      </c>
      <c r="I198" s="8">
        <v>15</v>
      </c>
      <c r="J198" s="8">
        <v>8</v>
      </c>
      <c r="K198" s="8">
        <v>10</v>
      </c>
      <c r="L198" s="12" t="s">
        <v>449</v>
      </c>
    </row>
    <row r="199" spans="1:12" x14ac:dyDescent="0.3">
      <c r="A199" s="6">
        <v>197</v>
      </c>
      <c r="B199" s="11" t="s">
        <v>450</v>
      </c>
      <c r="C199" s="6" t="s">
        <v>23</v>
      </c>
      <c r="D199" s="8">
        <v>5000</v>
      </c>
      <c r="E199" s="8">
        <v>102</v>
      </c>
      <c r="F199" s="8">
        <v>8</v>
      </c>
      <c r="G199" s="8">
        <v>35</v>
      </c>
      <c r="H199" s="8">
        <v>30</v>
      </c>
      <c r="I199" s="8">
        <v>8</v>
      </c>
      <c r="J199" s="8">
        <v>3</v>
      </c>
      <c r="K199" s="8">
        <v>8</v>
      </c>
      <c r="L199" s="12" t="s">
        <v>449</v>
      </c>
    </row>
    <row r="200" spans="1:12" x14ac:dyDescent="0.3">
      <c r="A200" s="6">
        <v>198</v>
      </c>
      <c r="B200" s="11" t="s">
        <v>451</v>
      </c>
      <c r="C200" s="6" t="s">
        <v>14</v>
      </c>
      <c r="D200" s="8">
        <v>5300</v>
      </c>
      <c r="E200" s="8">
        <v>8</v>
      </c>
      <c r="F200" s="8">
        <v>44</v>
      </c>
      <c r="G200" s="8">
        <v>8</v>
      </c>
      <c r="H200" s="8">
        <v>10</v>
      </c>
      <c r="I200" s="8">
        <v>18</v>
      </c>
      <c r="J200" s="8">
        <v>14</v>
      </c>
      <c r="K200" s="8">
        <v>8</v>
      </c>
      <c r="L200" s="12"/>
    </row>
    <row r="201" spans="1:12" x14ac:dyDescent="0.3">
      <c r="A201" s="6">
        <v>199</v>
      </c>
      <c r="B201" s="11" t="s">
        <v>452</v>
      </c>
      <c r="C201" s="6" t="s">
        <v>41</v>
      </c>
      <c r="D201" s="8">
        <v>3800</v>
      </c>
      <c r="E201" s="8">
        <v>26</v>
      </c>
      <c r="F201" s="8">
        <v>6</v>
      </c>
      <c r="G201" s="8">
        <v>20</v>
      </c>
      <c r="H201" s="8">
        <v>10</v>
      </c>
      <c r="I201" s="8">
        <v>12</v>
      </c>
      <c r="J201" s="8">
        <v>3</v>
      </c>
      <c r="K201" s="8">
        <v>20</v>
      </c>
      <c r="L201" s="12" t="s">
        <v>449</v>
      </c>
    </row>
    <row r="202" spans="1:12" x14ac:dyDescent="0.3">
      <c r="A202" s="6">
        <v>200</v>
      </c>
      <c r="B202" s="11" t="s">
        <v>453</v>
      </c>
      <c r="C202" s="6" t="s">
        <v>50</v>
      </c>
      <c r="D202" s="8">
        <v>4500</v>
      </c>
      <c r="E202" s="8">
        <v>28</v>
      </c>
      <c r="F202" s="8">
        <v>16</v>
      </c>
      <c r="G202" s="8">
        <v>5</v>
      </c>
      <c r="H202" s="8">
        <v>30</v>
      </c>
      <c r="I202" s="8">
        <v>12</v>
      </c>
      <c r="J202" s="8">
        <v>4</v>
      </c>
      <c r="K202" s="8">
        <v>11</v>
      </c>
      <c r="L202" s="12"/>
    </row>
    <row r="203" spans="1:12" x14ac:dyDescent="0.3">
      <c r="A203" s="6">
        <v>201</v>
      </c>
      <c r="B203" s="11" t="s">
        <v>454</v>
      </c>
      <c r="C203" s="6" t="s">
        <v>32</v>
      </c>
      <c r="D203" s="8">
        <v>4100</v>
      </c>
      <c r="E203" s="8">
        <v>28</v>
      </c>
      <c r="F203" s="8">
        <v>8</v>
      </c>
      <c r="G203" s="8">
        <v>16</v>
      </c>
      <c r="H203" s="8">
        <v>28</v>
      </c>
      <c r="I203" s="8">
        <v>14</v>
      </c>
      <c r="J203" s="8">
        <v>7</v>
      </c>
      <c r="K203" s="8">
        <v>11</v>
      </c>
      <c r="L203" s="12" t="s">
        <v>455</v>
      </c>
    </row>
    <row r="204" spans="1:12" x14ac:dyDescent="0.3">
      <c r="A204" s="6">
        <v>202</v>
      </c>
      <c r="B204" s="11" t="s">
        <v>456</v>
      </c>
      <c r="C204" s="6" t="s">
        <v>23</v>
      </c>
      <c r="D204" s="8">
        <v>5000</v>
      </c>
      <c r="E204" s="8">
        <v>105</v>
      </c>
      <c r="F204" s="8">
        <v>10</v>
      </c>
      <c r="G204" s="8">
        <v>34</v>
      </c>
      <c r="H204" s="8">
        <v>20</v>
      </c>
      <c r="I204" s="8">
        <v>6</v>
      </c>
      <c r="J204" s="8">
        <v>5</v>
      </c>
      <c r="K204" s="8">
        <v>9</v>
      </c>
      <c r="L204" s="12"/>
    </row>
    <row r="205" spans="1:12" x14ac:dyDescent="0.3">
      <c r="A205" s="6">
        <v>203</v>
      </c>
      <c r="B205" s="11" t="s">
        <v>457</v>
      </c>
      <c r="C205" s="6" t="s">
        <v>14</v>
      </c>
      <c r="D205" s="8">
        <v>5300</v>
      </c>
      <c r="E205" s="8">
        <v>13</v>
      </c>
      <c r="F205" s="8">
        <v>43</v>
      </c>
      <c r="G205" s="8">
        <v>4</v>
      </c>
      <c r="H205" s="8">
        <v>25</v>
      </c>
      <c r="I205" s="8">
        <v>19</v>
      </c>
      <c r="J205" s="8">
        <v>13</v>
      </c>
      <c r="K205" s="8">
        <v>10</v>
      </c>
      <c r="L205" s="12" t="s">
        <v>455</v>
      </c>
    </row>
    <row r="206" spans="1:12" x14ac:dyDescent="0.3">
      <c r="A206" s="6">
        <v>204</v>
      </c>
      <c r="B206" s="11" t="s">
        <v>458</v>
      </c>
      <c r="C206" s="6" t="s">
        <v>41</v>
      </c>
      <c r="D206" s="8">
        <v>3800</v>
      </c>
      <c r="E206" s="8">
        <v>28</v>
      </c>
      <c r="F206" s="8">
        <v>5</v>
      </c>
      <c r="G206" s="8">
        <v>22</v>
      </c>
      <c r="H206" s="8">
        <v>20</v>
      </c>
      <c r="I206" s="8">
        <v>10</v>
      </c>
      <c r="J206" s="8">
        <v>4</v>
      </c>
      <c r="K206" s="8">
        <v>18</v>
      </c>
      <c r="L206" s="12"/>
    </row>
    <row r="207" spans="1:12" x14ac:dyDescent="0.3">
      <c r="A207" s="6">
        <v>205</v>
      </c>
      <c r="B207" s="11" t="s">
        <v>459</v>
      </c>
      <c r="C207" s="6" t="s">
        <v>50</v>
      </c>
      <c r="D207" s="8">
        <v>5000</v>
      </c>
      <c r="E207" s="8">
        <v>60</v>
      </c>
      <c r="F207" s="8">
        <v>15</v>
      </c>
      <c r="G207" s="8">
        <v>8</v>
      </c>
      <c r="H207" s="8">
        <v>20</v>
      </c>
      <c r="I207" s="8">
        <v>15</v>
      </c>
      <c r="J207" s="8">
        <v>5</v>
      </c>
      <c r="K207" s="8">
        <v>8</v>
      </c>
      <c r="L207" s="12" t="s">
        <v>455</v>
      </c>
    </row>
    <row r="208" spans="1:12" x14ac:dyDescent="0.3">
      <c r="A208" s="6">
        <v>206</v>
      </c>
      <c r="B208" s="11" t="s">
        <v>460</v>
      </c>
      <c r="C208" s="6" t="s">
        <v>32</v>
      </c>
      <c r="D208" s="8">
        <v>4100</v>
      </c>
      <c r="E208" s="8">
        <v>22</v>
      </c>
      <c r="F208" s="8">
        <v>10</v>
      </c>
      <c r="G208" s="8">
        <v>13</v>
      </c>
      <c r="H208" s="8">
        <v>20</v>
      </c>
      <c r="I208" s="8">
        <v>14</v>
      </c>
      <c r="J208" s="8">
        <v>8</v>
      </c>
      <c r="K208" s="8">
        <v>16</v>
      </c>
      <c r="L208" s="12"/>
    </row>
    <row r="209" spans="1:12" x14ac:dyDescent="0.3">
      <c r="A209" s="6">
        <v>207</v>
      </c>
      <c r="B209" s="11" t="s">
        <v>461</v>
      </c>
      <c r="C209" s="6" t="s">
        <v>23</v>
      </c>
      <c r="D209" s="8">
        <v>5000</v>
      </c>
      <c r="E209" s="8">
        <v>95</v>
      </c>
      <c r="F209" s="8">
        <v>9</v>
      </c>
      <c r="G209" s="8">
        <v>32</v>
      </c>
      <c r="H209" s="8">
        <v>25</v>
      </c>
      <c r="I209" s="8">
        <v>7</v>
      </c>
      <c r="J209" s="8">
        <v>4</v>
      </c>
      <c r="K209" s="8">
        <v>15</v>
      </c>
      <c r="L209" s="12"/>
    </row>
    <row r="210" spans="1:12" x14ac:dyDescent="0.3">
      <c r="A210" s="6">
        <v>208</v>
      </c>
      <c r="B210" s="11" t="s">
        <v>462</v>
      </c>
      <c r="C210" s="6" t="s">
        <v>14</v>
      </c>
      <c r="D210" s="8">
        <v>5400</v>
      </c>
      <c r="E210" s="8">
        <v>0</v>
      </c>
      <c r="F210" s="8">
        <v>42</v>
      </c>
      <c r="G210" s="8">
        <v>3</v>
      </c>
      <c r="H210" s="8">
        <v>15</v>
      </c>
      <c r="I210" s="8">
        <v>21</v>
      </c>
      <c r="J210" s="8">
        <v>14</v>
      </c>
      <c r="K210" s="8">
        <v>19</v>
      </c>
      <c r="L210" s="12" t="s">
        <v>463</v>
      </c>
    </row>
    <row r="211" spans="1:12" x14ac:dyDescent="0.3">
      <c r="A211" s="6">
        <v>209</v>
      </c>
      <c r="B211" s="11" t="s">
        <v>464</v>
      </c>
      <c r="C211" s="6" t="s">
        <v>41</v>
      </c>
      <c r="D211" s="8">
        <v>4100</v>
      </c>
      <c r="E211" s="8">
        <v>20</v>
      </c>
      <c r="F211" s="8">
        <v>7</v>
      </c>
      <c r="G211" s="8">
        <v>18</v>
      </c>
      <c r="H211" s="8">
        <v>15</v>
      </c>
      <c r="I211" s="8">
        <v>16</v>
      </c>
      <c r="J211" s="8">
        <v>5</v>
      </c>
      <c r="K211" s="8">
        <v>26</v>
      </c>
      <c r="L211" s="12" t="s">
        <v>463</v>
      </c>
    </row>
    <row r="212" spans="1:12" x14ac:dyDescent="0.3">
      <c r="A212" s="6">
        <v>210</v>
      </c>
      <c r="B212" s="11" t="s">
        <v>465</v>
      </c>
      <c r="C212" s="6" t="s">
        <v>50</v>
      </c>
      <c r="D212" s="8">
        <v>4650</v>
      </c>
      <c r="E212" s="8">
        <v>32</v>
      </c>
      <c r="F212" s="8">
        <v>12</v>
      </c>
      <c r="G212" s="8">
        <v>7</v>
      </c>
      <c r="H212" s="8">
        <v>35</v>
      </c>
      <c r="I212" s="8">
        <v>18</v>
      </c>
      <c r="J212" s="8">
        <v>6</v>
      </c>
      <c r="K212" s="8">
        <v>8</v>
      </c>
      <c r="L212" s="12"/>
    </row>
    <row r="213" spans="1:12" x14ac:dyDescent="0.3">
      <c r="A213" s="6">
        <v>211</v>
      </c>
      <c r="B213" s="11" t="s">
        <v>466</v>
      </c>
      <c r="C213" s="6" t="s">
        <v>32</v>
      </c>
      <c r="D213" s="8">
        <v>4150</v>
      </c>
      <c r="E213" s="8">
        <v>24</v>
      </c>
      <c r="F213" s="8">
        <v>10</v>
      </c>
      <c r="G213" s="8">
        <v>16</v>
      </c>
      <c r="H213" s="8">
        <v>22</v>
      </c>
      <c r="I213" s="8">
        <v>22</v>
      </c>
      <c r="J213" s="8">
        <v>6</v>
      </c>
      <c r="K213" s="8">
        <v>10</v>
      </c>
      <c r="L213" s="12"/>
    </row>
    <row r="214" spans="1:12" x14ac:dyDescent="0.3">
      <c r="A214" s="6">
        <v>212</v>
      </c>
      <c r="B214" s="11" t="s">
        <v>467</v>
      </c>
      <c r="C214" s="6" t="s">
        <v>23</v>
      </c>
      <c r="D214" s="8">
        <v>5150</v>
      </c>
      <c r="E214" s="8">
        <v>112</v>
      </c>
      <c r="F214" s="8">
        <v>7</v>
      </c>
      <c r="G214" s="8">
        <v>36</v>
      </c>
      <c r="H214" s="8">
        <v>22</v>
      </c>
      <c r="I214" s="8">
        <v>9</v>
      </c>
      <c r="J214" s="8">
        <v>4</v>
      </c>
      <c r="K214" s="8">
        <v>10</v>
      </c>
      <c r="L214" s="12" t="s">
        <v>468</v>
      </c>
    </row>
    <row r="215" spans="1:12" x14ac:dyDescent="0.3">
      <c r="A215" s="6">
        <v>213</v>
      </c>
      <c r="B215" s="11" t="s">
        <v>469</v>
      </c>
      <c r="C215" s="6" t="s">
        <v>14</v>
      </c>
      <c r="D215" s="8">
        <v>5700</v>
      </c>
      <c r="E215" s="8">
        <v>5</v>
      </c>
      <c r="F215" s="8">
        <v>45</v>
      </c>
      <c r="G215" s="8">
        <v>3</v>
      </c>
      <c r="H215" s="8">
        <v>10</v>
      </c>
      <c r="I215" s="8">
        <v>35</v>
      </c>
      <c r="J215" s="8">
        <v>16</v>
      </c>
      <c r="K215" s="8">
        <v>12</v>
      </c>
      <c r="L215" s="12"/>
    </row>
    <row r="216" spans="1:12" x14ac:dyDescent="0.3">
      <c r="A216" s="6">
        <v>214</v>
      </c>
      <c r="B216" s="11" t="s">
        <v>470</v>
      </c>
      <c r="C216" s="6" t="s">
        <v>41</v>
      </c>
      <c r="D216" s="8">
        <v>3800</v>
      </c>
      <c r="E216" s="8">
        <v>24</v>
      </c>
      <c r="F216" s="8">
        <v>8</v>
      </c>
      <c r="G216" s="8">
        <v>18</v>
      </c>
      <c r="H216" s="8">
        <v>8</v>
      </c>
      <c r="I216" s="8">
        <v>20</v>
      </c>
      <c r="J216" s="8">
        <v>3</v>
      </c>
      <c r="K216" s="8">
        <v>19</v>
      </c>
      <c r="L216" s="12"/>
    </row>
    <row r="217" spans="1:12" x14ac:dyDescent="0.3">
      <c r="A217" s="6">
        <v>215</v>
      </c>
      <c r="B217" s="11" t="s">
        <v>471</v>
      </c>
      <c r="C217" s="6" t="s">
        <v>50</v>
      </c>
      <c r="D217" s="8">
        <v>4700</v>
      </c>
      <c r="E217" s="8">
        <v>30</v>
      </c>
      <c r="F217" s="8">
        <v>10</v>
      </c>
      <c r="G217" s="8">
        <v>10</v>
      </c>
      <c r="H217" s="8">
        <v>18</v>
      </c>
      <c r="I217" s="8">
        <v>28</v>
      </c>
      <c r="J217" s="8">
        <v>6</v>
      </c>
      <c r="K217" s="8">
        <v>7</v>
      </c>
      <c r="L217" s="12" t="s">
        <v>468</v>
      </c>
    </row>
    <row r="218" spans="1:12" x14ac:dyDescent="0.3">
      <c r="A218" s="6">
        <v>216</v>
      </c>
      <c r="B218" s="11" t="s">
        <v>472</v>
      </c>
      <c r="C218" s="6" t="s">
        <v>32</v>
      </c>
      <c r="D218" s="8">
        <v>4300</v>
      </c>
      <c r="E218" s="8">
        <v>35</v>
      </c>
      <c r="F218" s="8">
        <v>11</v>
      </c>
      <c r="G218" s="8">
        <v>24</v>
      </c>
      <c r="H218" s="8">
        <v>6</v>
      </c>
      <c r="I218" s="8">
        <v>15</v>
      </c>
      <c r="J218" s="8">
        <v>8</v>
      </c>
      <c r="K218" s="8">
        <v>4</v>
      </c>
      <c r="L218" s="12" t="s">
        <v>473</v>
      </c>
    </row>
    <row r="219" spans="1:12" x14ac:dyDescent="0.3">
      <c r="A219" s="6">
        <v>217</v>
      </c>
      <c r="B219" s="11" t="s">
        <v>474</v>
      </c>
      <c r="C219" s="6" t="s">
        <v>23</v>
      </c>
      <c r="D219" s="8">
        <v>5400</v>
      </c>
      <c r="E219" s="8">
        <v>130</v>
      </c>
      <c r="F219" s="8">
        <v>5</v>
      </c>
      <c r="G219" s="8">
        <v>45</v>
      </c>
      <c r="H219" s="8">
        <v>20</v>
      </c>
      <c r="I219" s="8">
        <v>10</v>
      </c>
      <c r="J219" s="8">
        <v>3</v>
      </c>
      <c r="K219" s="8">
        <v>5</v>
      </c>
      <c r="L219" s="12" t="s">
        <v>473</v>
      </c>
    </row>
    <row r="220" spans="1:12" x14ac:dyDescent="0.3">
      <c r="A220" s="6">
        <v>218</v>
      </c>
      <c r="B220" s="11" t="s">
        <v>475</v>
      </c>
      <c r="C220" s="6" t="s">
        <v>14</v>
      </c>
      <c r="D220" s="8">
        <v>5600</v>
      </c>
      <c r="E220" s="8">
        <v>20</v>
      </c>
      <c r="F220" s="8">
        <v>46</v>
      </c>
      <c r="G220" s="8">
        <v>8</v>
      </c>
      <c r="H220" s="8">
        <v>5</v>
      </c>
      <c r="I220" s="8">
        <v>22</v>
      </c>
      <c r="J220" s="8">
        <v>15</v>
      </c>
      <c r="K220" s="8">
        <v>6</v>
      </c>
      <c r="L220" s="12" t="s">
        <v>473</v>
      </c>
    </row>
    <row r="221" spans="1:12" x14ac:dyDescent="0.3">
      <c r="A221" s="6">
        <v>219</v>
      </c>
      <c r="B221" s="11" t="s">
        <v>476</v>
      </c>
      <c r="C221" s="6" t="s">
        <v>41</v>
      </c>
      <c r="D221" s="8">
        <v>3900</v>
      </c>
      <c r="E221" s="8">
        <v>32</v>
      </c>
      <c r="F221" s="8">
        <v>8</v>
      </c>
      <c r="G221" s="8">
        <v>25</v>
      </c>
      <c r="H221" s="8">
        <v>12</v>
      </c>
      <c r="I221" s="8">
        <v>12</v>
      </c>
      <c r="J221" s="8">
        <v>6</v>
      </c>
      <c r="K221" s="8">
        <v>10</v>
      </c>
      <c r="L221" s="12" t="s">
        <v>473</v>
      </c>
    </row>
    <row r="222" spans="1:12" x14ac:dyDescent="0.3">
      <c r="A222" s="6">
        <v>220</v>
      </c>
      <c r="B222" s="11" t="s">
        <v>477</v>
      </c>
      <c r="C222" s="6" t="s">
        <v>50</v>
      </c>
      <c r="D222" s="8">
        <v>4900</v>
      </c>
      <c r="E222" s="8">
        <v>80</v>
      </c>
      <c r="F222" s="8">
        <v>0</v>
      </c>
      <c r="G222" s="8">
        <v>30</v>
      </c>
      <c r="H222" s="8">
        <v>0</v>
      </c>
      <c r="I222" s="8">
        <v>5</v>
      </c>
      <c r="J222" s="8">
        <v>5</v>
      </c>
      <c r="K222" s="8">
        <v>3</v>
      </c>
      <c r="L222" s="12" t="s">
        <v>473</v>
      </c>
    </row>
    <row r="223" spans="1:12" x14ac:dyDescent="0.3">
      <c r="A223" s="6">
        <v>221</v>
      </c>
      <c r="B223" s="16" t="s">
        <v>478</v>
      </c>
      <c r="C223" s="6" t="s">
        <v>14</v>
      </c>
      <c r="D223" s="8">
        <v>7000</v>
      </c>
      <c r="E223" s="8">
        <v>0</v>
      </c>
      <c r="F223" s="8">
        <v>50</v>
      </c>
      <c r="G223" s="8">
        <v>0</v>
      </c>
      <c r="H223" s="8">
        <v>20</v>
      </c>
      <c r="I223" s="8">
        <v>28</v>
      </c>
      <c r="J223" s="8">
        <v>18</v>
      </c>
      <c r="K223" s="8">
        <v>18</v>
      </c>
      <c r="L223" s="12" t="s">
        <v>479</v>
      </c>
    </row>
    <row r="224" spans="1:12" x14ac:dyDescent="0.3">
      <c r="A224" s="6">
        <v>222</v>
      </c>
      <c r="B224" s="16" t="s">
        <v>480</v>
      </c>
      <c r="C224" s="6" t="s">
        <v>23</v>
      </c>
      <c r="D224" s="8">
        <v>6400</v>
      </c>
      <c r="E224" s="8">
        <v>120</v>
      </c>
      <c r="F224" s="8">
        <v>8</v>
      </c>
      <c r="G224" s="8">
        <v>42</v>
      </c>
      <c r="H224" s="8">
        <v>30</v>
      </c>
      <c r="I224" s="8">
        <v>10</v>
      </c>
      <c r="J224" s="8">
        <v>4</v>
      </c>
      <c r="K224" s="8">
        <v>12</v>
      </c>
      <c r="L224" s="12" t="s">
        <v>481</v>
      </c>
    </row>
    <row r="225" spans="1:12" x14ac:dyDescent="0.3">
      <c r="A225" s="6">
        <v>223</v>
      </c>
      <c r="B225" s="16" t="s">
        <v>482</v>
      </c>
      <c r="C225" s="6" t="s">
        <v>50</v>
      </c>
      <c r="D225" s="8">
        <v>6000</v>
      </c>
      <c r="E225" s="8">
        <v>35</v>
      </c>
      <c r="F225" s="8">
        <v>10</v>
      </c>
      <c r="G225" s="8">
        <v>20</v>
      </c>
      <c r="H225" s="8">
        <v>40</v>
      </c>
      <c r="I225" s="8">
        <v>15</v>
      </c>
      <c r="J225" s="8">
        <v>5</v>
      </c>
      <c r="K225" s="8">
        <v>10</v>
      </c>
      <c r="L225" s="12" t="s">
        <v>483</v>
      </c>
    </row>
    <row r="226" spans="1:12" x14ac:dyDescent="0.3">
      <c r="A226" s="6">
        <v>224</v>
      </c>
      <c r="B226" s="18" t="s">
        <v>484</v>
      </c>
      <c r="C226" s="6" t="s">
        <v>14</v>
      </c>
      <c r="D226" s="8">
        <v>6000</v>
      </c>
      <c r="E226" s="8">
        <v>24</v>
      </c>
      <c r="F226" s="8">
        <v>46</v>
      </c>
      <c r="G226" s="8">
        <v>10</v>
      </c>
      <c r="H226" s="8">
        <v>20</v>
      </c>
      <c r="I226" s="8">
        <v>22</v>
      </c>
      <c r="J226" s="8">
        <v>17</v>
      </c>
      <c r="K226" s="8">
        <v>10</v>
      </c>
      <c r="L226" s="12" t="s">
        <v>485</v>
      </c>
    </row>
    <row r="227" spans="1:12" x14ac:dyDescent="0.3">
      <c r="A227" s="6">
        <v>225</v>
      </c>
      <c r="B227" s="20" t="s">
        <v>486</v>
      </c>
      <c r="C227" s="6" t="s">
        <v>14</v>
      </c>
      <c r="D227" s="6">
        <v>6300</v>
      </c>
      <c r="E227" s="6">
        <v>6</v>
      </c>
      <c r="F227" s="6">
        <v>46</v>
      </c>
      <c r="G227" s="6">
        <v>3</v>
      </c>
      <c r="H227" s="6">
        <v>15</v>
      </c>
      <c r="I227" s="6">
        <v>40</v>
      </c>
      <c r="J227" s="6">
        <v>19</v>
      </c>
      <c r="K227" s="6">
        <v>15</v>
      </c>
      <c r="L227" s="12" t="s">
        <v>487</v>
      </c>
    </row>
    <row r="228" spans="1:12" x14ac:dyDescent="0.3">
      <c r="A228" s="6">
        <v>226</v>
      </c>
      <c r="B228" s="20" t="s">
        <v>488</v>
      </c>
      <c r="C228" s="6" t="s">
        <v>23</v>
      </c>
      <c r="D228" s="6">
        <v>5800</v>
      </c>
      <c r="E228" s="6">
        <v>108</v>
      </c>
      <c r="F228" s="6">
        <v>12</v>
      </c>
      <c r="G228" s="6">
        <v>35</v>
      </c>
      <c r="H228" s="6">
        <v>24</v>
      </c>
      <c r="I228" s="6">
        <v>7</v>
      </c>
      <c r="J228" s="6">
        <v>6</v>
      </c>
      <c r="K228" s="6">
        <v>12</v>
      </c>
      <c r="L228" s="12" t="s">
        <v>489</v>
      </c>
    </row>
    <row r="229" spans="1:12" x14ac:dyDescent="0.3">
      <c r="A229" s="6">
        <v>227</v>
      </c>
      <c r="B229" s="20" t="s">
        <v>490</v>
      </c>
      <c r="C229" s="6" t="s">
        <v>32</v>
      </c>
      <c r="D229" s="6">
        <v>4800</v>
      </c>
      <c r="E229" s="6">
        <v>24</v>
      </c>
      <c r="F229" s="6">
        <v>11</v>
      </c>
      <c r="G229" s="6">
        <v>17</v>
      </c>
      <c r="H229" s="6">
        <v>24</v>
      </c>
      <c r="I229" s="6">
        <v>28</v>
      </c>
      <c r="J229" s="6">
        <v>7</v>
      </c>
      <c r="K229" s="6">
        <v>11</v>
      </c>
      <c r="L229" s="12" t="s">
        <v>491</v>
      </c>
    </row>
    <row r="230" spans="1:12" x14ac:dyDescent="0.3">
      <c r="A230" s="6">
        <v>228</v>
      </c>
      <c r="B230" s="20" t="s">
        <v>492</v>
      </c>
      <c r="C230" s="6" t="s">
        <v>32</v>
      </c>
      <c r="D230" s="6">
        <v>4700</v>
      </c>
      <c r="E230" s="6">
        <v>22</v>
      </c>
      <c r="F230" s="6">
        <v>18</v>
      </c>
      <c r="G230" s="6">
        <v>15</v>
      </c>
      <c r="H230" s="6">
        <v>15</v>
      </c>
      <c r="I230" s="6">
        <v>14</v>
      </c>
      <c r="J230" s="6">
        <v>8</v>
      </c>
      <c r="K230" s="6">
        <v>14</v>
      </c>
      <c r="L230" s="12" t="s">
        <v>493</v>
      </c>
    </row>
    <row r="231" spans="1:12" x14ac:dyDescent="0.3">
      <c r="A231" s="6">
        <v>229</v>
      </c>
      <c r="B231" s="20" t="s">
        <v>494</v>
      </c>
      <c r="C231" s="6" t="s">
        <v>50</v>
      </c>
      <c r="D231" s="6">
        <v>5400</v>
      </c>
      <c r="E231" s="6">
        <v>40</v>
      </c>
      <c r="F231" s="6">
        <v>9</v>
      </c>
      <c r="G231" s="6">
        <v>20</v>
      </c>
      <c r="H231" s="6">
        <v>50</v>
      </c>
      <c r="I231" s="6">
        <v>12</v>
      </c>
      <c r="J231" s="6">
        <v>4</v>
      </c>
      <c r="K231" s="6">
        <v>8</v>
      </c>
      <c r="L231" s="12" t="s">
        <v>495</v>
      </c>
    </row>
    <row r="232" spans="1:12" x14ac:dyDescent="0.3">
      <c r="A232" s="6">
        <v>230</v>
      </c>
      <c r="B232" s="18" t="s">
        <v>496</v>
      </c>
      <c r="C232" s="8" t="s">
        <v>41</v>
      </c>
      <c r="D232" s="8">
        <v>4300</v>
      </c>
      <c r="E232" s="8">
        <v>30</v>
      </c>
      <c r="F232" s="8">
        <v>5</v>
      </c>
      <c r="G232" s="8">
        <v>24</v>
      </c>
      <c r="H232" s="8">
        <v>25</v>
      </c>
      <c r="I232" s="8">
        <v>10</v>
      </c>
      <c r="J232" s="8">
        <v>4</v>
      </c>
      <c r="K232" s="8">
        <v>20</v>
      </c>
      <c r="L232" s="12" t="s">
        <v>497</v>
      </c>
    </row>
    <row r="233" spans="1:12" x14ac:dyDescent="0.3">
      <c r="A233" s="6">
        <v>231</v>
      </c>
      <c r="B233" s="18" t="s">
        <v>498</v>
      </c>
      <c r="C233" s="8" t="s">
        <v>41</v>
      </c>
      <c r="D233" s="8">
        <v>4500</v>
      </c>
      <c r="E233" s="8">
        <v>20</v>
      </c>
      <c r="F233" s="8">
        <v>8</v>
      </c>
      <c r="G233" s="8">
        <v>18</v>
      </c>
      <c r="H233" s="8">
        <v>18</v>
      </c>
      <c r="I233" s="8">
        <v>14</v>
      </c>
      <c r="J233" s="8">
        <v>7</v>
      </c>
      <c r="K233" s="8">
        <v>26</v>
      </c>
      <c r="L233" s="12" t="s">
        <v>499</v>
      </c>
    </row>
    <row r="234" spans="1:12" x14ac:dyDescent="0.3">
      <c r="A234" s="6">
        <v>232</v>
      </c>
      <c r="B234" s="18" t="s">
        <v>500</v>
      </c>
      <c r="C234" s="8" t="s">
        <v>23</v>
      </c>
      <c r="D234" s="8">
        <v>6200</v>
      </c>
      <c r="E234" s="8">
        <v>140</v>
      </c>
      <c r="F234" s="8">
        <v>5</v>
      </c>
      <c r="G234" s="8">
        <v>48</v>
      </c>
      <c r="H234" s="8">
        <v>20</v>
      </c>
      <c r="I234" s="8">
        <v>10</v>
      </c>
      <c r="J234" s="8">
        <v>3</v>
      </c>
      <c r="K234" s="8">
        <v>5</v>
      </c>
      <c r="L234" s="12" t="s">
        <v>501</v>
      </c>
    </row>
    <row r="235" spans="1:12" x14ac:dyDescent="0.3">
      <c r="A235" s="6">
        <v>233</v>
      </c>
      <c r="B235" s="11" t="s">
        <v>502</v>
      </c>
      <c r="C235" s="8" t="s">
        <v>14</v>
      </c>
      <c r="D235" s="8">
        <v>5750</v>
      </c>
      <c r="E235" s="8">
        <v>0</v>
      </c>
      <c r="F235" s="8">
        <v>46</v>
      </c>
      <c r="G235" s="8">
        <v>3</v>
      </c>
      <c r="H235" s="8">
        <v>20</v>
      </c>
      <c r="I235" s="8">
        <v>24</v>
      </c>
      <c r="J235" s="8">
        <v>18</v>
      </c>
      <c r="K235" s="8">
        <v>16</v>
      </c>
      <c r="L235" s="12"/>
    </row>
    <row r="236" spans="1:12" x14ac:dyDescent="0.3">
      <c r="A236" s="6">
        <v>234</v>
      </c>
      <c r="B236" s="11" t="s">
        <v>503</v>
      </c>
      <c r="C236" s="8" t="s">
        <v>32</v>
      </c>
      <c r="D236" s="8">
        <v>4500</v>
      </c>
      <c r="E236" s="8">
        <v>26</v>
      </c>
      <c r="F236" s="8">
        <v>18</v>
      </c>
      <c r="G236" s="8">
        <v>15</v>
      </c>
      <c r="H236" s="8">
        <v>20</v>
      </c>
      <c r="I236" s="8">
        <v>16</v>
      </c>
      <c r="J236" s="8">
        <v>8</v>
      </c>
      <c r="K236" s="8">
        <v>10</v>
      </c>
      <c r="L236" s="12"/>
    </row>
    <row r="237" spans="1:12" x14ac:dyDescent="0.3">
      <c r="A237" s="6">
        <v>235</v>
      </c>
      <c r="B237" s="11" t="s">
        <v>504</v>
      </c>
      <c r="C237" s="8" t="s">
        <v>23</v>
      </c>
      <c r="D237" s="8">
        <v>5500</v>
      </c>
      <c r="E237" s="8">
        <v>120</v>
      </c>
      <c r="F237" s="8">
        <v>10</v>
      </c>
      <c r="G237" s="8">
        <v>40</v>
      </c>
      <c r="H237" s="8">
        <v>10</v>
      </c>
      <c r="I237" s="8">
        <v>11</v>
      </c>
      <c r="J237" s="8">
        <v>6</v>
      </c>
      <c r="K237" s="8">
        <v>8</v>
      </c>
      <c r="L237" s="12"/>
    </row>
    <row r="238" spans="1:12" x14ac:dyDescent="0.3">
      <c r="A238" s="6">
        <v>236</v>
      </c>
      <c r="B238" s="11" t="s">
        <v>505</v>
      </c>
      <c r="C238" s="8" t="s">
        <v>41</v>
      </c>
      <c r="D238" s="8">
        <v>4200</v>
      </c>
      <c r="E238" s="8">
        <v>25</v>
      </c>
      <c r="F238" s="8">
        <v>10</v>
      </c>
      <c r="G238" s="8">
        <v>18</v>
      </c>
      <c r="H238" s="8">
        <v>12</v>
      </c>
      <c r="I238" s="8">
        <v>16</v>
      </c>
      <c r="J238" s="8">
        <v>7</v>
      </c>
      <c r="K238" s="8">
        <v>22</v>
      </c>
      <c r="L238" s="12"/>
    </row>
    <row r="239" spans="1:12" x14ac:dyDescent="0.3">
      <c r="A239" s="6">
        <v>237</v>
      </c>
      <c r="B239" s="11" t="s">
        <v>506</v>
      </c>
      <c r="C239" s="8" t="s">
        <v>50</v>
      </c>
      <c r="D239" s="8">
        <v>5000</v>
      </c>
      <c r="E239" s="8">
        <v>50</v>
      </c>
      <c r="F239" s="8">
        <v>12</v>
      </c>
      <c r="G239" s="8">
        <v>12</v>
      </c>
      <c r="H239" s="8">
        <v>12</v>
      </c>
      <c r="I239" s="8">
        <v>12</v>
      </c>
      <c r="J239" s="8">
        <v>6</v>
      </c>
      <c r="K239" s="8">
        <v>12</v>
      </c>
      <c r="L239" s="12"/>
    </row>
    <row r="240" spans="1:12" x14ac:dyDescent="0.3">
      <c r="A240" s="6">
        <v>238</v>
      </c>
      <c r="B240" s="11" t="s">
        <v>507</v>
      </c>
      <c r="C240" s="8" t="s">
        <v>14</v>
      </c>
      <c r="D240" s="8">
        <v>5900</v>
      </c>
      <c r="E240" s="8">
        <v>15</v>
      </c>
      <c r="F240" s="8">
        <v>45</v>
      </c>
      <c r="G240" s="8">
        <v>6</v>
      </c>
      <c r="H240" s="8">
        <v>6</v>
      </c>
      <c r="I240" s="8">
        <v>26</v>
      </c>
      <c r="J240" s="8">
        <v>16</v>
      </c>
      <c r="K240" s="8">
        <v>18</v>
      </c>
      <c r="L240" s="12"/>
    </row>
    <row r="241" spans="1:12" x14ac:dyDescent="0.3">
      <c r="A241" s="6">
        <v>239</v>
      </c>
      <c r="B241" s="11" t="s">
        <v>508</v>
      </c>
      <c r="C241" s="8" t="s">
        <v>32</v>
      </c>
      <c r="D241" s="8">
        <v>4550</v>
      </c>
      <c r="E241" s="8">
        <v>35</v>
      </c>
      <c r="F241" s="8">
        <v>12</v>
      </c>
      <c r="G241" s="8">
        <v>22</v>
      </c>
      <c r="H241" s="8">
        <v>10</v>
      </c>
      <c r="I241" s="8">
        <v>18</v>
      </c>
      <c r="J241" s="8">
        <v>7</v>
      </c>
      <c r="K241" s="8">
        <v>11</v>
      </c>
      <c r="L241" s="12"/>
    </row>
    <row r="242" spans="1:12" x14ac:dyDescent="0.3">
      <c r="A242" s="6">
        <v>240</v>
      </c>
      <c r="B242" s="11" t="s">
        <v>509</v>
      </c>
      <c r="C242" s="8" t="s">
        <v>23</v>
      </c>
      <c r="D242" s="8">
        <v>5550</v>
      </c>
      <c r="E242" s="8">
        <v>150</v>
      </c>
      <c r="F242" s="8">
        <v>4</v>
      </c>
      <c r="G242" s="8">
        <v>46</v>
      </c>
      <c r="H242" s="8">
        <v>10</v>
      </c>
      <c r="I242" s="8">
        <v>10</v>
      </c>
      <c r="J242" s="8">
        <v>5</v>
      </c>
      <c r="K242" s="8">
        <v>3</v>
      </c>
      <c r="L242" s="12"/>
    </row>
    <row r="243" spans="1:12" x14ac:dyDescent="0.3">
      <c r="A243" s="6">
        <v>241</v>
      </c>
      <c r="B243" s="11" t="s">
        <v>510</v>
      </c>
      <c r="C243" s="8" t="s">
        <v>41</v>
      </c>
      <c r="D243" s="8">
        <v>4300</v>
      </c>
      <c r="E243" s="8">
        <v>30</v>
      </c>
      <c r="F243" s="8">
        <v>6</v>
      </c>
      <c r="G243" s="8">
        <v>24</v>
      </c>
      <c r="H243" s="8">
        <v>15</v>
      </c>
      <c r="I243" s="8">
        <v>19</v>
      </c>
      <c r="J243" s="8">
        <v>5</v>
      </c>
      <c r="K243" s="8">
        <v>20</v>
      </c>
      <c r="L243" s="12"/>
    </row>
    <row r="244" spans="1:12" x14ac:dyDescent="0.3">
      <c r="A244" s="6">
        <v>242</v>
      </c>
      <c r="B244" s="11" t="s">
        <v>511</v>
      </c>
      <c r="C244" s="8" t="s">
        <v>50</v>
      </c>
      <c r="D244" s="8">
        <v>5300</v>
      </c>
      <c r="E244" s="8">
        <v>120</v>
      </c>
      <c r="F244" s="8">
        <v>0</v>
      </c>
      <c r="G244" s="8">
        <v>30</v>
      </c>
      <c r="H244" s="8">
        <v>30</v>
      </c>
      <c r="I244" s="8">
        <v>0</v>
      </c>
      <c r="J244" s="8">
        <v>0</v>
      </c>
      <c r="K244" s="8">
        <v>0</v>
      </c>
      <c r="L244" s="12"/>
    </row>
    <row r="245" spans="1:12" x14ac:dyDescent="0.3">
      <c r="A245" s="6">
        <v>243</v>
      </c>
      <c r="B245" s="11" t="s">
        <v>512</v>
      </c>
      <c r="C245" s="8" t="s">
        <v>14</v>
      </c>
      <c r="D245" s="8">
        <v>5800</v>
      </c>
      <c r="E245" s="8">
        <v>0</v>
      </c>
      <c r="F245" s="8">
        <v>48</v>
      </c>
      <c r="G245" s="8">
        <v>0</v>
      </c>
      <c r="H245" s="8">
        <v>12</v>
      </c>
      <c r="I245" s="8">
        <v>30</v>
      </c>
      <c r="J245" s="8">
        <v>20</v>
      </c>
      <c r="K245" s="8">
        <v>16</v>
      </c>
      <c r="L245" s="12"/>
    </row>
    <row r="246" spans="1:12" x14ac:dyDescent="0.3">
      <c r="A246" s="6">
        <v>244</v>
      </c>
      <c r="B246" s="11" t="s">
        <v>513</v>
      </c>
      <c r="C246" s="8" t="s">
        <v>32</v>
      </c>
      <c r="D246" s="8">
        <v>4700</v>
      </c>
      <c r="E246" s="8">
        <v>14</v>
      </c>
      <c r="F246" s="8">
        <v>22</v>
      </c>
      <c r="G246" s="8">
        <v>12</v>
      </c>
      <c r="H246" s="8">
        <v>8</v>
      </c>
      <c r="I246" s="8">
        <v>22</v>
      </c>
      <c r="J246" s="8">
        <v>11</v>
      </c>
      <c r="K246" s="8">
        <v>12</v>
      </c>
      <c r="L246" s="12"/>
    </row>
    <row r="247" spans="1:12" x14ac:dyDescent="0.3">
      <c r="A247" s="6">
        <v>245</v>
      </c>
      <c r="B247" s="11" t="s">
        <v>514</v>
      </c>
      <c r="C247" s="8" t="s">
        <v>23</v>
      </c>
      <c r="D247" s="8">
        <v>5550</v>
      </c>
      <c r="E247" s="8">
        <v>105</v>
      </c>
      <c r="F247" s="8">
        <v>9</v>
      </c>
      <c r="G247" s="8">
        <v>40</v>
      </c>
      <c r="H247" s="8">
        <v>19</v>
      </c>
      <c r="I247" s="8">
        <v>10</v>
      </c>
      <c r="J247" s="8">
        <v>6</v>
      </c>
      <c r="K247" s="8">
        <v>13</v>
      </c>
      <c r="L247" s="12"/>
    </row>
    <row r="248" spans="1:12" x14ac:dyDescent="0.3">
      <c r="A248" s="6">
        <v>246</v>
      </c>
      <c r="B248" s="11" t="s">
        <v>515</v>
      </c>
      <c r="C248" s="8" t="s">
        <v>41</v>
      </c>
      <c r="D248" s="8">
        <v>4300</v>
      </c>
      <c r="E248" s="8">
        <v>20</v>
      </c>
      <c r="F248" s="8">
        <v>13</v>
      </c>
      <c r="G248" s="8">
        <v>15</v>
      </c>
      <c r="H248" s="8">
        <v>5</v>
      </c>
      <c r="I248" s="8">
        <v>12</v>
      </c>
      <c r="J248" s="8">
        <v>7</v>
      </c>
      <c r="K248" s="8">
        <v>28</v>
      </c>
      <c r="L248" s="12"/>
    </row>
    <row r="249" spans="1:12" x14ac:dyDescent="0.3">
      <c r="A249" s="6">
        <v>247</v>
      </c>
      <c r="B249" s="11" t="s">
        <v>516</v>
      </c>
      <c r="C249" s="8" t="s">
        <v>50</v>
      </c>
      <c r="D249" s="8">
        <v>5100</v>
      </c>
      <c r="E249" s="8">
        <v>30</v>
      </c>
      <c r="F249" s="8">
        <v>15</v>
      </c>
      <c r="G249" s="8">
        <v>5</v>
      </c>
      <c r="H249" s="8">
        <v>15</v>
      </c>
      <c r="I249" s="8">
        <v>12</v>
      </c>
      <c r="J249" s="8">
        <v>12</v>
      </c>
      <c r="K249" s="8">
        <v>12</v>
      </c>
      <c r="L249" s="12"/>
    </row>
    <row r="250" spans="1:12" x14ac:dyDescent="0.3">
      <c r="A250" s="6">
        <v>248</v>
      </c>
      <c r="B250" s="11" t="s">
        <v>517</v>
      </c>
      <c r="C250" s="8" t="s">
        <v>14</v>
      </c>
      <c r="D250" s="8">
        <v>5700</v>
      </c>
      <c r="E250" s="8">
        <v>5</v>
      </c>
      <c r="F250" s="8">
        <v>45</v>
      </c>
      <c r="G250" s="8">
        <v>5</v>
      </c>
      <c r="H250" s="8">
        <v>16</v>
      </c>
      <c r="I250" s="8">
        <v>25</v>
      </c>
      <c r="J250" s="8">
        <v>17</v>
      </c>
      <c r="K250" s="8">
        <v>15</v>
      </c>
      <c r="L250" s="12"/>
    </row>
    <row r="251" spans="1:12" x14ac:dyDescent="0.3">
      <c r="A251" s="6">
        <v>249</v>
      </c>
      <c r="B251" s="11" t="s">
        <v>518</v>
      </c>
      <c r="C251" s="8" t="s">
        <v>32</v>
      </c>
      <c r="D251" s="8">
        <v>4450</v>
      </c>
      <c r="E251" s="8">
        <v>15</v>
      </c>
      <c r="F251" s="8">
        <v>18</v>
      </c>
      <c r="G251" s="8">
        <v>18</v>
      </c>
      <c r="H251" s="8">
        <v>18</v>
      </c>
      <c r="I251" s="8">
        <v>18</v>
      </c>
      <c r="J251" s="8">
        <v>8</v>
      </c>
      <c r="K251" s="8">
        <v>8</v>
      </c>
      <c r="L251" s="12"/>
    </row>
    <row r="252" spans="1:12" x14ac:dyDescent="0.3">
      <c r="A252" s="6">
        <v>250</v>
      </c>
      <c r="B252" s="11" t="s">
        <v>519</v>
      </c>
      <c r="C252" s="8" t="s">
        <v>23</v>
      </c>
      <c r="D252" s="8">
        <v>5450</v>
      </c>
      <c r="E252" s="8">
        <v>90</v>
      </c>
      <c r="F252" s="8">
        <v>12</v>
      </c>
      <c r="G252" s="8">
        <v>35</v>
      </c>
      <c r="H252" s="8">
        <v>15</v>
      </c>
      <c r="I252" s="8">
        <v>12</v>
      </c>
      <c r="J252" s="8">
        <v>8</v>
      </c>
      <c r="K252" s="8">
        <v>15</v>
      </c>
      <c r="L252" s="12"/>
    </row>
    <row r="253" spans="1:12" x14ac:dyDescent="0.3">
      <c r="A253" s="6">
        <v>251</v>
      </c>
      <c r="B253" s="11" t="s">
        <v>520</v>
      </c>
      <c r="C253" s="8" t="s">
        <v>41</v>
      </c>
      <c r="D253" s="8">
        <v>4250</v>
      </c>
      <c r="E253" s="8">
        <v>20</v>
      </c>
      <c r="F253" s="8">
        <v>10</v>
      </c>
      <c r="G253" s="8">
        <v>14</v>
      </c>
      <c r="H253" s="8">
        <v>8</v>
      </c>
      <c r="I253" s="8">
        <v>18</v>
      </c>
      <c r="J253" s="8">
        <v>8</v>
      </c>
      <c r="K253" s="8">
        <v>25</v>
      </c>
      <c r="L253" s="12"/>
    </row>
    <row r="254" spans="1:12" x14ac:dyDescent="0.3">
      <c r="A254" s="6">
        <v>252</v>
      </c>
      <c r="B254" s="11" t="s">
        <v>521</v>
      </c>
      <c r="C254" s="8" t="s">
        <v>50</v>
      </c>
      <c r="D254" s="8">
        <v>5500</v>
      </c>
      <c r="E254" s="8">
        <v>40</v>
      </c>
      <c r="F254" s="8">
        <v>20</v>
      </c>
      <c r="G254" s="8">
        <v>0</v>
      </c>
      <c r="H254" s="8">
        <v>20</v>
      </c>
      <c r="I254" s="8">
        <v>20</v>
      </c>
      <c r="J254" s="8">
        <v>8</v>
      </c>
      <c r="K254" s="8">
        <v>10</v>
      </c>
      <c r="L254" s="12"/>
    </row>
    <row r="255" spans="1:12" x14ac:dyDescent="0.3">
      <c r="A255" s="6">
        <v>253</v>
      </c>
      <c r="B255" s="11" t="s">
        <v>522</v>
      </c>
      <c r="C255" s="8" t="s">
        <v>14</v>
      </c>
      <c r="D255" s="8">
        <v>6000</v>
      </c>
      <c r="E255" s="8">
        <v>15</v>
      </c>
      <c r="F255" s="8">
        <v>44</v>
      </c>
      <c r="G255" s="8">
        <v>5</v>
      </c>
      <c r="H255" s="8">
        <v>35</v>
      </c>
      <c r="I255" s="8">
        <v>18</v>
      </c>
      <c r="J255" s="8">
        <v>20</v>
      </c>
      <c r="K255" s="8">
        <v>14</v>
      </c>
      <c r="L255" s="12"/>
    </row>
    <row r="256" spans="1:12" x14ac:dyDescent="0.3">
      <c r="A256" s="6">
        <v>254</v>
      </c>
      <c r="B256" s="11" t="s">
        <v>523</v>
      </c>
      <c r="C256" s="8" t="s">
        <v>32</v>
      </c>
      <c r="D256" s="8">
        <v>4750</v>
      </c>
      <c r="E256" s="8">
        <v>28</v>
      </c>
      <c r="F256" s="8">
        <v>14</v>
      </c>
      <c r="G256" s="8">
        <v>20</v>
      </c>
      <c r="H256" s="8">
        <v>35</v>
      </c>
      <c r="I256" s="8">
        <v>16</v>
      </c>
      <c r="J256" s="8">
        <v>10</v>
      </c>
      <c r="K256" s="8">
        <v>8</v>
      </c>
      <c r="L256" s="12"/>
    </row>
    <row r="257" spans="1:12" x14ac:dyDescent="0.3">
      <c r="A257" s="6">
        <v>255</v>
      </c>
      <c r="B257" s="11" t="s">
        <v>524</v>
      </c>
      <c r="C257" s="8" t="s">
        <v>23</v>
      </c>
      <c r="D257" s="8">
        <v>5600</v>
      </c>
      <c r="E257" s="8">
        <v>108</v>
      </c>
      <c r="F257" s="8">
        <v>10</v>
      </c>
      <c r="G257" s="8">
        <v>38</v>
      </c>
      <c r="H257" s="8">
        <v>25</v>
      </c>
      <c r="I257" s="8">
        <v>14</v>
      </c>
      <c r="J257" s="8">
        <v>6</v>
      </c>
      <c r="K257" s="8">
        <v>9</v>
      </c>
      <c r="L257" s="12"/>
    </row>
    <row r="258" spans="1:12" x14ac:dyDescent="0.3">
      <c r="A258" s="6">
        <v>256</v>
      </c>
      <c r="B258" s="11" t="s">
        <v>525</v>
      </c>
      <c r="C258" s="8" t="s">
        <v>41</v>
      </c>
      <c r="D258" s="8">
        <v>4400</v>
      </c>
      <c r="E258" s="8">
        <v>25</v>
      </c>
      <c r="F258" s="8">
        <v>8</v>
      </c>
      <c r="G258" s="8">
        <v>16</v>
      </c>
      <c r="H258" s="8">
        <v>22</v>
      </c>
      <c r="I258" s="8">
        <v>17</v>
      </c>
      <c r="J258" s="8">
        <v>7</v>
      </c>
      <c r="K258" s="8">
        <v>26</v>
      </c>
      <c r="L258" s="12"/>
    </row>
    <row r="259" spans="1:12" x14ac:dyDescent="0.3">
      <c r="A259" s="6">
        <v>257</v>
      </c>
      <c r="B259" s="11" t="s">
        <v>526</v>
      </c>
      <c r="C259" s="8" t="s">
        <v>50</v>
      </c>
      <c r="D259" s="8">
        <v>5400</v>
      </c>
      <c r="E259" s="8">
        <v>35</v>
      </c>
      <c r="F259" s="8">
        <v>12</v>
      </c>
      <c r="G259" s="8">
        <v>8</v>
      </c>
      <c r="H259" s="8">
        <v>60</v>
      </c>
      <c r="I259" s="8">
        <v>12</v>
      </c>
      <c r="J259" s="8">
        <v>7</v>
      </c>
      <c r="K259" s="8">
        <v>12</v>
      </c>
      <c r="L259" s="12"/>
    </row>
    <row r="260" spans="1:12" x14ac:dyDescent="0.3">
      <c r="A260" s="6">
        <v>258</v>
      </c>
      <c r="B260" s="16" t="s">
        <v>527</v>
      </c>
      <c r="C260" s="8" t="s">
        <v>14</v>
      </c>
      <c r="D260" s="8">
        <v>7500</v>
      </c>
      <c r="E260" s="8">
        <v>10</v>
      </c>
      <c r="F260" s="8">
        <v>52</v>
      </c>
      <c r="G260" s="8">
        <v>3</v>
      </c>
      <c r="H260" s="8">
        <v>20</v>
      </c>
      <c r="I260" s="8">
        <v>26</v>
      </c>
      <c r="J260" s="8">
        <v>22</v>
      </c>
      <c r="K260" s="8">
        <v>18</v>
      </c>
      <c r="L260" s="12"/>
    </row>
    <row r="261" spans="1:12" x14ac:dyDescent="0.3">
      <c r="A261" s="8">
        <v>259</v>
      </c>
      <c r="B261" s="18" t="s">
        <v>528</v>
      </c>
      <c r="C261" s="8" t="s">
        <v>14</v>
      </c>
      <c r="D261" s="8">
        <v>6500</v>
      </c>
      <c r="E261" s="8">
        <v>15</v>
      </c>
      <c r="F261" s="8">
        <v>46</v>
      </c>
      <c r="G261" s="8">
        <v>5</v>
      </c>
      <c r="H261" s="8">
        <v>40</v>
      </c>
      <c r="I261" s="8">
        <v>22</v>
      </c>
      <c r="J261" s="8">
        <v>21</v>
      </c>
      <c r="K261" s="8">
        <v>15</v>
      </c>
      <c r="L261" s="12" t="s">
        <v>529</v>
      </c>
    </row>
    <row r="262" spans="1:12" x14ac:dyDescent="0.3">
      <c r="A262" s="8">
        <v>260</v>
      </c>
      <c r="B262" s="18" t="s">
        <v>530</v>
      </c>
      <c r="C262" s="8" t="s">
        <v>23</v>
      </c>
      <c r="D262" s="8">
        <v>6000</v>
      </c>
      <c r="E262" s="8">
        <v>112</v>
      </c>
      <c r="F262" s="8">
        <v>10</v>
      </c>
      <c r="G262" s="8">
        <v>42</v>
      </c>
      <c r="H262" s="8">
        <v>20</v>
      </c>
      <c r="I262" s="8">
        <v>11</v>
      </c>
      <c r="J262" s="8">
        <v>7</v>
      </c>
      <c r="K262" s="8">
        <v>13</v>
      </c>
      <c r="L262" s="12" t="s">
        <v>531</v>
      </c>
    </row>
    <row r="263" spans="1:12" x14ac:dyDescent="0.3">
      <c r="A263" s="8">
        <v>261</v>
      </c>
      <c r="B263" s="18" t="s">
        <v>532</v>
      </c>
      <c r="C263" s="8" t="s">
        <v>50</v>
      </c>
      <c r="D263" s="8">
        <v>5800</v>
      </c>
      <c r="E263" s="8">
        <v>35</v>
      </c>
      <c r="F263" s="8">
        <v>18</v>
      </c>
      <c r="G263" s="8">
        <v>5</v>
      </c>
      <c r="H263" s="8">
        <v>25</v>
      </c>
      <c r="I263" s="8">
        <v>22</v>
      </c>
      <c r="J263" s="8">
        <v>7</v>
      </c>
      <c r="K263" s="8">
        <v>11</v>
      </c>
      <c r="L263" s="12" t="s">
        <v>533</v>
      </c>
    </row>
    <row r="264" spans="1:12" x14ac:dyDescent="0.3">
      <c r="A264" s="8">
        <v>262</v>
      </c>
      <c r="B264" s="11" t="s">
        <v>534</v>
      </c>
      <c r="C264" s="6" t="s">
        <v>32</v>
      </c>
      <c r="D264" s="8">
        <v>0</v>
      </c>
      <c r="E264" s="8">
        <v>25</v>
      </c>
      <c r="F264" s="8">
        <v>20</v>
      </c>
      <c r="G264" s="8">
        <v>20</v>
      </c>
      <c r="H264" s="8">
        <v>12</v>
      </c>
      <c r="I264" s="8">
        <v>15</v>
      </c>
      <c r="J264" s="8">
        <v>10</v>
      </c>
      <c r="K264" s="8">
        <v>11</v>
      </c>
    </row>
    <row r="265" spans="1:12" x14ac:dyDescent="0.3">
      <c r="A265" s="8">
        <v>263</v>
      </c>
      <c r="B265" s="11" t="s">
        <v>535</v>
      </c>
      <c r="C265" s="6" t="s">
        <v>23</v>
      </c>
      <c r="D265" s="8">
        <v>0</v>
      </c>
      <c r="E265" s="8">
        <v>175</v>
      </c>
      <c r="F265" s="8">
        <v>1</v>
      </c>
      <c r="G265" s="8">
        <v>37</v>
      </c>
      <c r="H265" s="8">
        <v>12</v>
      </c>
      <c r="I265" s="8">
        <v>9</v>
      </c>
      <c r="J265" s="8">
        <v>5</v>
      </c>
      <c r="K265" s="8">
        <v>12</v>
      </c>
    </row>
    <row r="266" spans="1:12" x14ac:dyDescent="0.3">
      <c r="A266" s="8">
        <v>264</v>
      </c>
      <c r="B266" s="11" t="s">
        <v>536</v>
      </c>
      <c r="C266" s="6" t="s">
        <v>41</v>
      </c>
      <c r="D266" s="8">
        <v>0</v>
      </c>
      <c r="E266" s="8">
        <v>20</v>
      </c>
      <c r="F266" s="8">
        <v>15</v>
      </c>
      <c r="G266" s="8">
        <v>15</v>
      </c>
      <c r="H266" s="8">
        <v>5</v>
      </c>
      <c r="I266" s="8">
        <v>15</v>
      </c>
      <c r="J266" s="8">
        <v>9</v>
      </c>
      <c r="K266" s="8">
        <v>20</v>
      </c>
    </row>
    <row r="267" spans="1:12" x14ac:dyDescent="0.3">
      <c r="A267" s="8">
        <v>265</v>
      </c>
      <c r="B267" s="11" t="s">
        <v>537</v>
      </c>
      <c r="C267" s="6" t="s">
        <v>14</v>
      </c>
      <c r="D267" s="8">
        <v>0</v>
      </c>
      <c r="E267" s="8">
        <v>0</v>
      </c>
      <c r="F267" s="8">
        <v>50</v>
      </c>
      <c r="G267" s="8">
        <v>0</v>
      </c>
      <c r="H267" s="8">
        <v>30</v>
      </c>
      <c r="I267" s="8">
        <v>10</v>
      </c>
      <c r="J267" s="8">
        <v>22</v>
      </c>
      <c r="K267" s="8">
        <v>18</v>
      </c>
    </row>
    <row r="268" spans="1:12" x14ac:dyDescent="0.3">
      <c r="A268" s="8">
        <v>266</v>
      </c>
      <c r="B268" s="11" t="s">
        <v>538</v>
      </c>
      <c r="C268" s="6" t="s">
        <v>50</v>
      </c>
      <c r="D268" s="8">
        <v>0</v>
      </c>
      <c r="E268" s="8">
        <v>20</v>
      </c>
      <c r="F268" s="8">
        <v>8</v>
      </c>
      <c r="G268" s="8">
        <v>12</v>
      </c>
      <c r="H268" s="8">
        <v>75</v>
      </c>
      <c r="I268" s="8">
        <v>10</v>
      </c>
      <c r="J268" s="8">
        <v>10</v>
      </c>
      <c r="K268" s="8">
        <v>10</v>
      </c>
    </row>
    <row r="269" spans="1:12" x14ac:dyDescent="0.3">
      <c r="D269" s="8"/>
      <c r="E269" s="8"/>
      <c r="F269" s="8"/>
      <c r="G269" s="8"/>
      <c r="H269" s="8"/>
      <c r="I269" s="8"/>
      <c r="J269" s="8"/>
      <c r="K269" s="8"/>
    </row>
    <row r="270" spans="1:12" x14ac:dyDescent="0.3">
      <c r="D270" s="8"/>
      <c r="E270" s="8"/>
      <c r="F270" s="8"/>
    </row>
    <row r="271" spans="1:12" x14ac:dyDescent="0.3">
      <c r="D271" s="8"/>
      <c r="E271" s="8"/>
      <c r="F271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zoomScale="85" zoomScaleNormal="85" workbookViewId="0">
      <selection activeCell="L6" activeCellId="1" sqref="D9 L6"/>
    </sheetView>
  </sheetViews>
  <sheetFormatPr defaultRowHeight="14" x14ac:dyDescent="0.3"/>
  <cols>
    <col min="1" max="1" width="17.83203125" customWidth="1"/>
    <col min="2" max="2" width="19.75" customWidth="1"/>
    <col min="3" max="3" width="15.83203125" customWidth="1"/>
    <col min="4" max="4" width="13.08203125" customWidth="1"/>
    <col min="6" max="6" width="30.08203125" customWidth="1"/>
    <col min="8" max="8" width="20.33203125" customWidth="1"/>
    <col min="9" max="9" width="24.75" customWidth="1"/>
  </cols>
  <sheetData>
    <row r="1" spans="1:10" x14ac:dyDescent="0.3">
      <c r="A1" t="s">
        <v>0</v>
      </c>
      <c r="B1" t="s">
        <v>1</v>
      </c>
      <c r="C1" t="s">
        <v>540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</row>
    <row r="2" spans="1:10" x14ac:dyDescent="0.3">
      <c r="A2">
        <v>996</v>
      </c>
      <c r="B2" t="s">
        <v>723</v>
      </c>
      <c r="C2" t="s">
        <v>724</v>
      </c>
      <c r="D2">
        <v>0</v>
      </c>
      <c r="E2">
        <v>0</v>
      </c>
      <c r="G2">
        <v>0</v>
      </c>
      <c r="H2" t="s">
        <v>725</v>
      </c>
      <c r="I2" t="s">
        <v>726</v>
      </c>
      <c r="J2">
        <v>4</v>
      </c>
    </row>
    <row r="3" spans="1:10" x14ac:dyDescent="0.3">
      <c r="A3">
        <v>997</v>
      </c>
      <c r="B3" t="s">
        <v>727</v>
      </c>
      <c r="C3" t="s">
        <v>728</v>
      </c>
      <c r="D3">
        <v>1.6</v>
      </c>
      <c r="E3">
        <v>0</v>
      </c>
      <c r="G3">
        <v>0</v>
      </c>
      <c r="H3" t="s">
        <v>729</v>
      </c>
      <c r="I3" t="s">
        <v>730</v>
      </c>
      <c r="J3">
        <v>2</v>
      </c>
    </row>
    <row r="4" spans="1:10" x14ac:dyDescent="0.3">
      <c r="A4">
        <v>998</v>
      </c>
      <c r="B4" t="s">
        <v>915</v>
      </c>
      <c r="C4" t="s">
        <v>728</v>
      </c>
      <c r="D4">
        <v>0.5</v>
      </c>
      <c r="E4">
        <v>0</v>
      </c>
      <c r="G4">
        <v>0</v>
      </c>
      <c r="H4" t="s">
        <v>729</v>
      </c>
      <c r="I4" t="s">
        <v>731</v>
      </c>
      <c r="J4">
        <v>2</v>
      </c>
    </row>
    <row r="5" spans="1:10" x14ac:dyDescent="0.3">
      <c r="A5">
        <v>999</v>
      </c>
      <c r="B5" t="s">
        <v>732</v>
      </c>
      <c r="C5" t="s">
        <v>733</v>
      </c>
      <c r="D5">
        <v>0</v>
      </c>
      <c r="E5">
        <v>0</v>
      </c>
      <c r="F5" t="s">
        <v>734</v>
      </c>
      <c r="G5">
        <v>-1</v>
      </c>
      <c r="H5" t="s">
        <v>725</v>
      </c>
      <c r="I5" t="s">
        <v>735</v>
      </c>
      <c r="J5">
        <v>0</v>
      </c>
    </row>
    <row r="6" spans="1:10" x14ac:dyDescent="0.3">
      <c r="A6">
        <v>1</v>
      </c>
      <c r="B6" t="s">
        <v>736</v>
      </c>
      <c r="C6" t="s">
        <v>728</v>
      </c>
      <c r="D6">
        <v>1.2</v>
      </c>
      <c r="E6">
        <v>15</v>
      </c>
      <c r="G6">
        <v>0</v>
      </c>
      <c r="H6" t="s">
        <v>729</v>
      </c>
      <c r="I6" t="s">
        <v>737</v>
      </c>
      <c r="J6">
        <v>3</v>
      </c>
    </row>
    <row r="7" spans="1:10" x14ac:dyDescent="0.3">
      <c r="A7">
        <v>2</v>
      </c>
      <c r="B7" t="s">
        <v>738</v>
      </c>
      <c r="C7" t="s">
        <v>739</v>
      </c>
      <c r="D7">
        <v>0</v>
      </c>
      <c r="E7">
        <v>5</v>
      </c>
      <c r="F7" t="s">
        <v>740</v>
      </c>
      <c r="G7">
        <v>10</v>
      </c>
      <c r="H7" t="s">
        <v>725</v>
      </c>
      <c r="I7" t="s">
        <v>741</v>
      </c>
      <c r="J7">
        <v>15</v>
      </c>
    </row>
    <row r="8" spans="1:10" x14ac:dyDescent="0.3">
      <c r="A8">
        <v>3</v>
      </c>
      <c r="B8" t="s">
        <v>742</v>
      </c>
      <c r="C8" t="s">
        <v>739</v>
      </c>
      <c r="D8">
        <v>0</v>
      </c>
      <c r="E8">
        <v>0</v>
      </c>
      <c r="F8" t="s">
        <v>743</v>
      </c>
      <c r="G8">
        <v>6</v>
      </c>
      <c r="H8" t="s">
        <v>725</v>
      </c>
      <c r="I8" t="s">
        <v>744</v>
      </c>
      <c r="J8">
        <v>12</v>
      </c>
    </row>
    <row r="9" spans="1:10" x14ac:dyDescent="0.3">
      <c r="A9">
        <v>4</v>
      </c>
      <c r="B9" t="s">
        <v>745</v>
      </c>
      <c r="C9" t="s">
        <v>733</v>
      </c>
      <c r="D9">
        <v>0</v>
      </c>
      <c r="E9">
        <v>0</v>
      </c>
      <c r="F9" t="s">
        <v>746</v>
      </c>
      <c r="G9">
        <v>-1</v>
      </c>
      <c r="H9" t="s">
        <v>725</v>
      </c>
      <c r="I9" t="s">
        <v>747</v>
      </c>
      <c r="J9">
        <v>0</v>
      </c>
    </row>
    <row r="10" spans="1:10" x14ac:dyDescent="0.3">
      <c r="A10">
        <v>5</v>
      </c>
      <c r="B10" t="s">
        <v>748</v>
      </c>
      <c r="C10" t="s">
        <v>733</v>
      </c>
      <c r="D10">
        <v>0</v>
      </c>
      <c r="E10">
        <v>0</v>
      </c>
      <c r="F10" t="s">
        <v>749</v>
      </c>
      <c r="G10">
        <v>-1</v>
      </c>
      <c r="H10" t="s">
        <v>725</v>
      </c>
      <c r="I10" t="s">
        <v>750</v>
      </c>
      <c r="J10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10" customWidth="1"/>
    <col min="2" max="2" width="16" customWidth="1"/>
    <col min="3" max="3" width="8" customWidth="1"/>
    <col min="4" max="4" width="10" customWidth="1"/>
    <col min="5" max="5" width="8" customWidth="1"/>
    <col min="6" max="6" width="10" customWidth="1"/>
    <col min="7" max="7" width="8" customWidth="1"/>
    <col min="8" max="9" width="60" customWidth="1"/>
  </cols>
  <sheetData>
    <row r="1" spans="1:9" x14ac:dyDescent="0.3">
      <c r="A1" t="s">
        <v>751</v>
      </c>
      <c r="B1" t="s">
        <v>752</v>
      </c>
      <c r="C1" t="s">
        <v>540</v>
      </c>
      <c r="D1" t="s">
        <v>717</v>
      </c>
      <c r="E1" t="s">
        <v>722</v>
      </c>
      <c r="F1" t="s">
        <v>719</v>
      </c>
      <c r="G1" t="s">
        <v>720</v>
      </c>
      <c r="H1" t="s">
        <v>753</v>
      </c>
      <c r="I1" t="s">
        <v>754</v>
      </c>
    </row>
    <row r="2" spans="1:9" x14ac:dyDescent="0.3">
      <c r="A2">
        <v>-161</v>
      </c>
      <c r="B2" t="s">
        <v>755</v>
      </c>
      <c r="C2" t="s">
        <v>756</v>
      </c>
      <c r="D2">
        <v>20</v>
      </c>
      <c r="E2">
        <v>30</v>
      </c>
      <c r="F2">
        <v>3</v>
      </c>
      <c r="G2" t="s">
        <v>757</v>
      </c>
      <c r="H2" t="s">
        <v>758</v>
      </c>
      <c r="I2" t="s">
        <v>759</v>
      </c>
    </row>
    <row r="3" spans="1:9" x14ac:dyDescent="0.3">
      <c r="A3">
        <v>-160</v>
      </c>
      <c r="B3" t="s">
        <v>760</v>
      </c>
      <c r="C3" t="s">
        <v>756</v>
      </c>
      <c r="D3">
        <v>5</v>
      </c>
      <c r="E3">
        <v>5</v>
      </c>
      <c r="F3">
        <v>0</v>
      </c>
      <c r="G3" t="s">
        <v>757</v>
      </c>
      <c r="H3" t="s">
        <v>761</v>
      </c>
      <c r="I3" t="s">
        <v>762</v>
      </c>
    </row>
    <row r="4" spans="1:9" x14ac:dyDescent="0.3">
      <c r="A4">
        <v>-159</v>
      </c>
      <c r="B4" t="s">
        <v>763</v>
      </c>
      <c r="C4" t="s">
        <v>764</v>
      </c>
      <c r="D4">
        <v>0</v>
      </c>
      <c r="E4">
        <v>0</v>
      </c>
      <c r="F4">
        <v>-1</v>
      </c>
      <c r="G4" t="s">
        <v>765</v>
      </c>
      <c r="H4" t="s">
        <v>427</v>
      </c>
      <c r="I4" t="s">
        <v>766</v>
      </c>
    </row>
    <row r="5" spans="1:9" x14ac:dyDescent="0.3">
      <c r="A5">
        <v>-158</v>
      </c>
      <c r="B5" t="s">
        <v>767</v>
      </c>
      <c r="C5" t="s">
        <v>756</v>
      </c>
      <c r="D5">
        <v>40</v>
      </c>
      <c r="E5">
        <v>12</v>
      </c>
      <c r="F5">
        <v>0</v>
      </c>
      <c r="G5" t="s">
        <v>757</v>
      </c>
      <c r="H5" t="s">
        <v>423</v>
      </c>
      <c r="I5" t="s">
        <v>768</v>
      </c>
    </row>
    <row r="6" spans="1:9" x14ac:dyDescent="0.3">
      <c r="A6">
        <v>-157</v>
      </c>
      <c r="B6" t="s">
        <v>769</v>
      </c>
      <c r="C6" t="s">
        <v>756</v>
      </c>
      <c r="D6">
        <v>10</v>
      </c>
      <c r="E6">
        <v>20</v>
      </c>
      <c r="F6">
        <v>10</v>
      </c>
      <c r="G6" t="s">
        <v>757</v>
      </c>
      <c r="H6" t="s">
        <v>770</v>
      </c>
      <c r="I6" t="s">
        <v>771</v>
      </c>
    </row>
    <row r="7" spans="1:9" x14ac:dyDescent="0.3">
      <c r="A7">
        <v>-156</v>
      </c>
      <c r="B7" t="s">
        <v>772</v>
      </c>
      <c r="C7" t="s">
        <v>764</v>
      </c>
      <c r="D7">
        <v>0</v>
      </c>
      <c r="E7">
        <v>0</v>
      </c>
      <c r="F7">
        <v>-1</v>
      </c>
      <c r="G7" t="s">
        <v>765</v>
      </c>
      <c r="H7" t="s">
        <v>773</v>
      </c>
      <c r="I7" t="s">
        <v>774</v>
      </c>
    </row>
    <row r="8" spans="1:9" x14ac:dyDescent="0.3">
      <c r="A8">
        <v>-155</v>
      </c>
      <c r="B8" t="s">
        <v>775</v>
      </c>
      <c r="C8" t="s">
        <v>756</v>
      </c>
      <c r="D8">
        <v>40</v>
      </c>
      <c r="E8">
        <v>20</v>
      </c>
      <c r="F8">
        <v>5</v>
      </c>
      <c r="G8" t="s">
        <v>757</v>
      </c>
      <c r="H8" t="s">
        <v>776</v>
      </c>
      <c r="I8" t="s">
        <v>777</v>
      </c>
    </row>
    <row r="9" spans="1:9" x14ac:dyDescent="0.3">
      <c r="A9">
        <v>-154</v>
      </c>
      <c r="B9" t="s">
        <v>778</v>
      </c>
      <c r="C9" t="s">
        <v>764</v>
      </c>
      <c r="D9">
        <v>0</v>
      </c>
      <c r="E9">
        <v>0</v>
      </c>
      <c r="F9">
        <v>-1</v>
      </c>
      <c r="G9" t="s">
        <v>765</v>
      </c>
      <c r="H9" t="s">
        <v>779</v>
      </c>
      <c r="I9" t="s">
        <v>780</v>
      </c>
    </row>
    <row r="10" spans="1:9" x14ac:dyDescent="0.3">
      <c r="A10">
        <v>-153</v>
      </c>
      <c r="B10" t="s">
        <v>781</v>
      </c>
      <c r="C10" t="s">
        <v>756</v>
      </c>
      <c r="D10">
        <v>20</v>
      </c>
      <c r="E10">
        <v>8</v>
      </c>
      <c r="F10">
        <v>2</v>
      </c>
      <c r="G10" t="s">
        <v>757</v>
      </c>
      <c r="H10" t="s">
        <v>782</v>
      </c>
      <c r="I10" t="s">
        <v>783</v>
      </c>
    </row>
    <row r="11" spans="1:9" x14ac:dyDescent="0.3">
      <c r="A11">
        <v>-152</v>
      </c>
      <c r="B11" t="s">
        <v>784</v>
      </c>
      <c r="C11" t="s">
        <v>756</v>
      </c>
      <c r="D11">
        <v>15</v>
      </c>
      <c r="E11">
        <v>10</v>
      </c>
      <c r="F11">
        <v>5</v>
      </c>
      <c r="G11" t="s">
        <v>765</v>
      </c>
      <c r="H11" t="s">
        <v>785</v>
      </c>
      <c r="I11" t="s">
        <v>786</v>
      </c>
    </row>
    <row r="12" spans="1:9" x14ac:dyDescent="0.3">
      <c r="A12">
        <v>-151</v>
      </c>
      <c r="B12" t="s">
        <v>787</v>
      </c>
      <c r="C12" t="s">
        <v>756</v>
      </c>
      <c r="D12">
        <v>12</v>
      </c>
      <c r="E12">
        <v>12</v>
      </c>
      <c r="F12">
        <v>3</v>
      </c>
      <c r="G12" t="s">
        <v>765</v>
      </c>
      <c r="H12" t="s">
        <v>411</v>
      </c>
      <c r="I12" t="s">
        <v>788</v>
      </c>
    </row>
    <row r="13" spans="1:9" x14ac:dyDescent="0.3">
      <c r="A13">
        <v>-150</v>
      </c>
      <c r="B13" t="s">
        <v>789</v>
      </c>
      <c r="C13" t="s">
        <v>756</v>
      </c>
      <c r="D13">
        <v>12</v>
      </c>
      <c r="E13">
        <v>6</v>
      </c>
      <c r="F13">
        <v>3</v>
      </c>
      <c r="G13" t="s">
        <v>757</v>
      </c>
      <c r="H13" t="s">
        <v>790</v>
      </c>
      <c r="I13" t="s">
        <v>791</v>
      </c>
    </row>
    <row r="14" spans="1:9" x14ac:dyDescent="0.3">
      <c r="A14">
        <v>-149</v>
      </c>
      <c r="B14" t="s">
        <v>792</v>
      </c>
      <c r="C14" t="s">
        <v>756</v>
      </c>
      <c r="D14">
        <v>10</v>
      </c>
      <c r="E14">
        <v>8</v>
      </c>
      <c r="F14">
        <v>5</v>
      </c>
      <c r="G14" t="s">
        <v>765</v>
      </c>
      <c r="H14" t="s">
        <v>793</v>
      </c>
      <c r="I14" t="s">
        <v>794</v>
      </c>
    </row>
    <row r="15" spans="1:9" x14ac:dyDescent="0.3">
      <c r="A15">
        <v>-148</v>
      </c>
      <c r="B15" t="s">
        <v>795</v>
      </c>
      <c r="C15" t="s">
        <v>756</v>
      </c>
      <c r="D15">
        <v>60</v>
      </c>
      <c r="E15">
        <v>10</v>
      </c>
      <c r="F15">
        <v>1</v>
      </c>
      <c r="G15" t="s">
        <v>765</v>
      </c>
      <c r="H15" t="s">
        <v>484</v>
      </c>
      <c r="I15" t="s">
        <v>796</v>
      </c>
    </row>
    <row r="16" spans="1:9" x14ac:dyDescent="0.3">
      <c r="A16">
        <v>-147</v>
      </c>
      <c r="B16" t="s">
        <v>797</v>
      </c>
      <c r="C16" t="s">
        <v>764</v>
      </c>
      <c r="D16">
        <v>0</v>
      </c>
      <c r="E16">
        <v>0</v>
      </c>
      <c r="F16">
        <v>-1</v>
      </c>
      <c r="G16" t="s">
        <v>765</v>
      </c>
      <c r="H16" t="s">
        <v>494</v>
      </c>
      <c r="I16" t="s">
        <v>798</v>
      </c>
    </row>
    <row r="17" spans="1:9" x14ac:dyDescent="0.3">
      <c r="A17">
        <v>-146</v>
      </c>
      <c r="B17" t="s">
        <v>799</v>
      </c>
      <c r="C17" t="s">
        <v>764</v>
      </c>
      <c r="D17">
        <v>0</v>
      </c>
      <c r="E17">
        <v>0</v>
      </c>
      <c r="F17">
        <v>-1</v>
      </c>
      <c r="G17" t="s">
        <v>765</v>
      </c>
      <c r="H17" t="s">
        <v>800</v>
      </c>
      <c r="I17" t="s">
        <v>801</v>
      </c>
    </row>
    <row r="18" spans="1:9" x14ac:dyDescent="0.3">
      <c r="A18">
        <v>-145</v>
      </c>
      <c r="B18" t="s">
        <v>802</v>
      </c>
      <c r="C18" t="s">
        <v>756</v>
      </c>
      <c r="D18">
        <v>0</v>
      </c>
      <c r="E18">
        <v>30</v>
      </c>
      <c r="F18">
        <v>30</v>
      </c>
      <c r="G18" t="s">
        <v>765</v>
      </c>
      <c r="H18" t="s">
        <v>803</v>
      </c>
      <c r="I18" t="s">
        <v>804</v>
      </c>
    </row>
    <row r="19" spans="1:9" x14ac:dyDescent="0.3">
      <c r="A19">
        <v>-144</v>
      </c>
      <c r="B19" t="s">
        <v>805</v>
      </c>
      <c r="C19" t="s">
        <v>764</v>
      </c>
      <c r="D19">
        <v>0</v>
      </c>
      <c r="E19">
        <v>0</v>
      </c>
      <c r="F19">
        <v>-1</v>
      </c>
      <c r="G19" t="s">
        <v>765</v>
      </c>
      <c r="H19" t="s">
        <v>806</v>
      </c>
      <c r="I19" t="s">
        <v>807</v>
      </c>
    </row>
    <row r="20" spans="1:9" x14ac:dyDescent="0.3">
      <c r="A20">
        <v>-143</v>
      </c>
      <c r="B20" t="s">
        <v>808</v>
      </c>
      <c r="C20" t="s">
        <v>764</v>
      </c>
      <c r="D20">
        <v>0</v>
      </c>
      <c r="E20">
        <v>0</v>
      </c>
      <c r="F20">
        <v>-1</v>
      </c>
      <c r="G20" t="s">
        <v>765</v>
      </c>
      <c r="H20" t="s">
        <v>480</v>
      </c>
      <c r="I20" t="s">
        <v>809</v>
      </c>
    </row>
    <row r="21" spans="1:9" x14ac:dyDescent="0.3">
      <c r="A21">
        <v>-142</v>
      </c>
      <c r="B21" t="s">
        <v>810</v>
      </c>
      <c r="C21" t="s">
        <v>764</v>
      </c>
      <c r="D21">
        <v>0</v>
      </c>
      <c r="E21">
        <v>0</v>
      </c>
      <c r="F21">
        <v>-1</v>
      </c>
      <c r="G21" t="s">
        <v>765</v>
      </c>
      <c r="H21" t="s">
        <v>811</v>
      </c>
      <c r="I21" t="s">
        <v>812</v>
      </c>
    </row>
    <row r="22" spans="1:9" x14ac:dyDescent="0.3">
      <c r="A22">
        <v>-141</v>
      </c>
      <c r="B22" t="s">
        <v>813</v>
      </c>
      <c r="C22" t="s">
        <v>764</v>
      </c>
      <c r="D22">
        <v>0</v>
      </c>
      <c r="E22">
        <v>0</v>
      </c>
      <c r="F22">
        <v>-1</v>
      </c>
      <c r="G22" t="s">
        <v>765</v>
      </c>
      <c r="H22" t="s">
        <v>814</v>
      </c>
      <c r="I22" t="s">
        <v>815</v>
      </c>
    </row>
    <row r="23" spans="1:9" x14ac:dyDescent="0.3">
      <c r="A23">
        <v>-140</v>
      </c>
      <c r="B23" t="s">
        <v>816</v>
      </c>
      <c r="C23" t="s">
        <v>764</v>
      </c>
      <c r="D23">
        <v>0</v>
      </c>
      <c r="E23">
        <v>0</v>
      </c>
      <c r="F23">
        <v>-1</v>
      </c>
      <c r="G23" t="s">
        <v>765</v>
      </c>
      <c r="H23" t="s">
        <v>817</v>
      </c>
      <c r="I23" t="s">
        <v>818</v>
      </c>
    </row>
    <row r="24" spans="1:9" x14ac:dyDescent="0.3">
      <c r="A24">
        <v>-139</v>
      </c>
      <c r="B24" t="s">
        <v>819</v>
      </c>
      <c r="C24" t="s">
        <v>756</v>
      </c>
      <c r="D24">
        <v>18</v>
      </c>
      <c r="E24">
        <v>10</v>
      </c>
      <c r="F24">
        <v>3</v>
      </c>
      <c r="G24" t="s">
        <v>765</v>
      </c>
      <c r="H24" t="s">
        <v>389</v>
      </c>
      <c r="I24" t="s">
        <v>820</v>
      </c>
    </row>
    <row r="25" spans="1:9" x14ac:dyDescent="0.3">
      <c r="A25">
        <v>-138</v>
      </c>
      <c r="B25" t="s">
        <v>821</v>
      </c>
      <c r="C25" t="s">
        <v>764</v>
      </c>
      <c r="D25">
        <v>0</v>
      </c>
      <c r="E25">
        <v>0</v>
      </c>
      <c r="F25">
        <v>-1</v>
      </c>
      <c r="G25" t="s">
        <v>765</v>
      </c>
      <c r="H25" t="s">
        <v>77</v>
      </c>
      <c r="I25" t="s">
        <v>822</v>
      </c>
    </row>
    <row r="26" spans="1:9" x14ac:dyDescent="0.3">
      <c r="A26">
        <v>-137</v>
      </c>
      <c r="B26" t="s">
        <v>823</v>
      </c>
      <c r="C26" t="s">
        <v>756</v>
      </c>
      <c r="D26">
        <v>0</v>
      </c>
      <c r="E26">
        <v>40</v>
      </c>
      <c r="F26">
        <v>10</v>
      </c>
      <c r="G26" t="s">
        <v>757</v>
      </c>
      <c r="H26" t="s">
        <v>824</v>
      </c>
      <c r="I26" t="s">
        <v>825</v>
      </c>
    </row>
    <row r="27" spans="1:9" x14ac:dyDescent="0.3">
      <c r="A27">
        <v>-136</v>
      </c>
      <c r="B27" t="s">
        <v>826</v>
      </c>
      <c r="C27" t="s">
        <v>756</v>
      </c>
      <c r="D27">
        <v>20</v>
      </c>
      <c r="E27">
        <v>15</v>
      </c>
      <c r="F27">
        <v>5</v>
      </c>
      <c r="G27" t="s">
        <v>757</v>
      </c>
      <c r="H27" t="s">
        <v>417</v>
      </c>
      <c r="I27" t="s">
        <v>827</v>
      </c>
    </row>
    <row r="28" spans="1:9" x14ac:dyDescent="0.3">
      <c r="A28">
        <v>-135</v>
      </c>
      <c r="B28" t="s">
        <v>828</v>
      </c>
      <c r="C28" t="s">
        <v>756</v>
      </c>
      <c r="D28">
        <v>18</v>
      </c>
      <c r="E28">
        <v>12</v>
      </c>
      <c r="F28">
        <v>6</v>
      </c>
      <c r="G28" t="s">
        <v>757</v>
      </c>
      <c r="H28" t="s">
        <v>829</v>
      </c>
      <c r="I28" t="s">
        <v>830</v>
      </c>
    </row>
    <row r="29" spans="1:9" x14ac:dyDescent="0.3">
      <c r="A29">
        <v>-134</v>
      </c>
      <c r="B29" t="s">
        <v>831</v>
      </c>
      <c r="C29" t="s">
        <v>756</v>
      </c>
      <c r="D29">
        <v>10</v>
      </c>
      <c r="E29">
        <v>12</v>
      </c>
      <c r="F29">
        <v>2</v>
      </c>
      <c r="G29" t="s">
        <v>757</v>
      </c>
      <c r="H29" t="s">
        <v>832</v>
      </c>
      <c r="I29" t="s">
        <v>833</v>
      </c>
    </row>
    <row r="30" spans="1:9" x14ac:dyDescent="0.3">
      <c r="A30">
        <v>-133</v>
      </c>
      <c r="B30" t="s">
        <v>834</v>
      </c>
      <c r="C30" t="s">
        <v>764</v>
      </c>
      <c r="D30">
        <v>0</v>
      </c>
      <c r="E30">
        <v>0</v>
      </c>
      <c r="F30">
        <v>-1</v>
      </c>
      <c r="G30" t="s">
        <v>765</v>
      </c>
      <c r="H30" t="s">
        <v>835</v>
      </c>
      <c r="I30" t="s">
        <v>836</v>
      </c>
    </row>
    <row r="31" spans="1:9" x14ac:dyDescent="0.3">
      <c r="A31">
        <v>-132</v>
      </c>
      <c r="B31" t="s">
        <v>837</v>
      </c>
      <c r="C31" t="s">
        <v>764</v>
      </c>
      <c r="D31">
        <v>0</v>
      </c>
      <c r="E31">
        <v>0</v>
      </c>
      <c r="F31">
        <v>-1</v>
      </c>
      <c r="G31" t="s">
        <v>765</v>
      </c>
      <c r="H31" t="s">
        <v>838</v>
      </c>
      <c r="I31" t="s">
        <v>839</v>
      </c>
    </row>
    <row r="32" spans="1:9" x14ac:dyDescent="0.3">
      <c r="A32">
        <v>-131</v>
      </c>
      <c r="B32" t="s">
        <v>840</v>
      </c>
      <c r="C32" t="s">
        <v>764</v>
      </c>
      <c r="D32">
        <v>0</v>
      </c>
      <c r="E32">
        <v>0</v>
      </c>
      <c r="F32">
        <v>-1</v>
      </c>
      <c r="G32" t="s">
        <v>765</v>
      </c>
      <c r="H32" t="s">
        <v>419</v>
      </c>
      <c r="I32" t="s">
        <v>841</v>
      </c>
    </row>
    <row r="33" spans="1:9" x14ac:dyDescent="0.3">
      <c r="A33">
        <v>-130</v>
      </c>
      <c r="B33" t="s">
        <v>842</v>
      </c>
      <c r="C33" t="s">
        <v>756</v>
      </c>
      <c r="D33">
        <v>10</v>
      </c>
      <c r="E33">
        <v>10</v>
      </c>
      <c r="F33">
        <v>0</v>
      </c>
      <c r="G33" t="s">
        <v>757</v>
      </c>
      <c r="H33" t="s">
        <v>843</v>
      </c>
      <c r="I33" t="s">
        <v>844</v>
      </c>
    </row>
    <row r="34" spans="1:9" x14ac:dyDescent="0.3">
      <c r="A34">
        <v>-129</v>
      </c>
      <c r="B34" t="s">
        <v>845</v>
      </c>
      <c r="C34" t="s">
        <v>764</v>
      </c>
      <c r="D34">
        <v>0</v>
      </c>
      <c r="E34">
        <v>0</v>
      </c>
      <c r="F34">
        <v>-1</v>
      </c>
      <c r="G34" t="s">
        <v>765</v>
      </c>
      <c r="H34" t="s">
        <v>846</v>
      </c>
      <c r="I34" t="s">
        <v>847</v>
      </c>
    </row>
    <row r="35" spans="1:9" x14ac:dyDescent="0.3">
      <c r="A35">
        <v>-128</v>
      </c>
      <c r="B35" t="s">
        <v>848</v>
      </c>
      <c r="C35" t="s">
        <v>756</v>
      </c>
      <c r="D35">
        <v>30</v>
      </c>
      <c r="E35">
        <v>15</v>
      </c>
      <c r="F35">
        <v>8</v>
      </c>
      <c r="G35" t="s">
        <v>757</v>
      </c>
      <c r="H35" t="s">
        <v>849</v>
      </c>
      <c r="I35" t="s">
        <v>850</v>
      </c>
    </row>
    <row r="36" spans="1:9" x14ac:dyDescent="0.3">
      <c r="A36">
        <v>-127</v>
      </c>
      <c r="B36" t="s">
        <v>851</v>
      </c>
      <c r="C36" t="s">
        <v>756</v>
      </c>
      <c r="D36">
        <v>1</v>
      </c>
      <c r="E36">
        <v>10</v>
      </c>
      <c r="F36">
        <v>2</v>
      </c>
      <c r="G36" t="s">
        <v>757</v>
      </c>
      <c r="H36" t="s">
        <v>852</v>
      </c>
      <c r="I36" t="s">
        <v>853</v>
      </c>
    </row>
    <row r="37" spans="1:9" x14ac:dyDescent="0.3">
      <c r="A37">
        <v>-126</v>
      </c>
      <c r="B37" t="s">
        <v>854</v>
      </c>
      <c r="C37" t="s">
        <v>764</v>
      </c>
      <c r="D37">
        <v>0</v>
      </c>
      <c r="E37">
        <v>0</v>
      </c>
      <c r="F37">
        <v>-1</v>
      </c>
      <c r="G37" t="s">
        <v>765</v>
      </c>
      <c r="H37" t="s">
        <v>492</v>
      </c>
      <c r="I37" t="s">
        <v>855</v>
      </c>
    </row>
    <row r="38" spans="1:9" x14ac:dyDescent="0.3">
      <c r="A38">
        <v>-125</v>
      </c>
      <c r="B38" t="s">
        <v>856</v>
      </c>
      <c r="C38" t="s">
        <v>756</v>
      </c>
      <c r="D38">
        <v>30</v>
      </c>
      <c r="E38">
        <v>50</v>
      </c>
      <c r="F38">
        <v>6</v>
      </c>
      <c r="G38" t="s">
        <v>765</v>
      </c>
      <c r="H38" t="s">
        <v>857</v>
      </c>
      <c r="I38" t="s">
        <v>858</v>
      </c>
    </row>
    <row r="39" spans="1:9" x14ac:dyDescent="0.3">
      <c r="A39">
        <v>-124</v>
      </c>
      <c r="B39" t="s">
        <v>859</v>
      </c>
      <c r="C39" t="s">
        <v>756</v>
      </c>
      <c r="D39">
        <v>100</v>
      </c>
      <c r="E39">
        <v>100</v>
      </c>
      <c r="F39">
        <v>100</v>
      </c>
      <c r="G39" t="s">
        <v>757</v>
      </c>
      <c r="H39" t="s">
        <v>478</v>
      </c>
      <c r="I39" t="s">
        <v>860</v>
      </c>
    </row>
    <row r="40" spans="1:9" x14ac:dyDescent="0.3">
      <c r="A40">
        <v>-123</v>
      </c>
      <c r="B40" t="s">
        <v>861</v>
      </c>
      <c r="C40" t="s">
        <v>756</v>
      </c>
      <c r="D40">
        <v>20</v>
      </c>
      <c r="E40">
        <v>18</v>
      </c>
      <c r="F40">
        <v>5</v>
      </c>
      <c r="G40" t="s">
        <v>765</v>
      </c>
      <c r="H40" t="s">
        <v>433</v>
      </c>
      <c r="I40" t="s">
        <v>862</v>
      </c>
    </row>
    <row r="41" spans="1:9" x14ac:dyDescent="0.3">
      <c r="A41">
        <v>-122</v>
      </c>
      <c r="B41" t="s">
        <v>863</v>
      </c>
      <c r="C41" t="s">
        <v>764</v>
      </c>
      <c r="D41">
        <v>0</v>
      </c>
      <c r="E41">
        <v>0</v>
      </c>
      <c r="F41">
        <v>-1</v>
      </c>
      <c r="G41" t="s">
        <v>765</v>
      </c>
      <c r="H41" t="s">
        <v>864</v>
      </c>
      <c r="I41" t="s">
        <v>865</v>
      </c>
    </row>
    <row r="42" spans="1:9" x14ac:dyDescent="0.3">
      <c r="A42">
        <v>-121</v>
      </c>
      <c r="B42" t="s">
        <v>866</v>
      </c>
      <c r="C42" t="s">
        <v>756</v>
      </c>
      <c r="D42">
        <v>50</v>
      </c>
      <c r="E42">
        <v>30</v>
      </c>
      <c r="F42">
        <v>10</v>
      </c>
      <c r="G42" t="s">
        <v>765</v>
      </c>
      <c r="H42" t="s">
        <v>490</v>
      </c>
      <c r="I42" t="s">
        <v>867</v>
      </c>
    </row>
    <row r="43" spans="1:9" x14ac:dyDescent="0.3">
      <c r="A43">
        <v>-120</v>
      </c>
      <c r="B43" t="s">
        <v>868</v>
      </c>
      <c r="C43" t="s">
        <v>764</v>
      </c>
      <c r="D43">
        <v>0</v>
      </c>
      <c r="E43">
        <v>0</v>
      </c>
      <c r="F43">
        <v>-1</v>
      </c>
      <c r="G43" t="s">
        <v>757</v>
      </c>
      <c r="H43" t="s">
        <v>421</v>
      </c>
      <c r="I43" t="s">
        <v>869</v>
      </c>
    </row>
    <row r="44" spans="1:9" x14ac:dyDescent="0.3">
      <c r="A44">
        <v>-119</v>
      </c>
      <c r="B44" t="s">
        <v>870</v>
      </c>
      <c r="C44" t="s">
        <v>756</v>
      </c>
      <c r="D44">
        <v>45</v>
      </c>
      <c r="E44">
        <v>18</v>
      </c>
      <c r="F44">
        <v>2</v>
      </c>
      <c r="G44" t="s">
        <v>757</v>
      </c>
      <c r="H44" t="s">
        <v>431</v>
      </c>
      <c r="I44" t="s">
        <v>871</v>
      </c>
    </row>
    <row r="45" spans="1:9" x14ac:dyDescent="0.3">
      <c r="A45">
        <v>-118</v>
      </c>
      <c r="B45" t="s">
        <v>872</v>
      </c>
      <c r="C45" t="s">
        <v>756</v>
      </c>
      <c r="D45">
        <v>50</v>
      </c>
      <c r="E45">
        <v>20</v>
      </c>
      <c r="F45">
        <v>2</v>
      </c>
      <c r="G45" t="s">
        <v>757</v>
      </c>
      <c r="H45" t="s">
        <v>873</v>
      </c>
      <c r="I45" t="s">
        <v>874</v>
      </c>
    </row>
    <row r="46" spans="1:9" x14ac:dyDescent="0.3">
      <c r="A46">
        <v>-117</v>
      </c>
      <c r="B46" t="s">
        <v>875</v>
      </c>
      <c r="C46" t="s">
        <v>756</v>
      </c>
      <c r="D46">
        <v>10</v>
      </c>
      <c r="E46">
        <v>20</v>
      </c>
      <c r="F46">
        <v>3</v>
      </c>
      <c r="G46" t="s">
        <v>765</v>
      </c>
      <c r="H46" t="s">
        <v>149</v>
      </c>
      <c r="I46" t="s">
        <v>876</v>
      </c>
    </row>
    <row r="47" spans="1:9" x14ac:dyDescent="0.3">
      <c r="A47">
        <v>-115</v>
      </c>
      <c r="B47" t="s">
        <v>877</v>
      </c>
      <c r="C47" t="s">
        <v>764</v>
      </c>
      <c r="D47">
        <v>0</v>
      </c>
      <c r="E47">
        <v>0</v>
      </c>
      <c r="F47">
        <v>-1</v>
      </c>
      <c r="G47" t="s">
        <v>765</v>
      </c>
      <c r="H47" t="s">
        <v>409</v>
      </c>
      <c r="I47" t="s">
        <v>878</v>
      </c>
    </row>
    <row r="48" spans="1:9" x14ac:dyDescent="0.3">
      <c r="A48">
        <v>-114</v>
      </c>
      <c r="B48" t="s">
        <v>879</v>
      </c>
      <c r="C48" t="s">
        <v>764</v>
      </c>
      <c r="D48">
        <v>0</v>
      </c>
      <c r="E48">
        <v>0</v>
      </c>
      <c r="F48">
        <v>-1</v>
      </c>
      <c r="G48" t="s">
        <v>765</v>
      </c>
      <c r="H48" t="s">
        <v>413</v>
      </c>
      <c r="I48" t="s">
        <v>880</v>
      </c>
    </row>
    <row r="49" spans="1:9" x14ac:dyDescent="0.3">
      <c r="A49">
        <v>-113</v>
      </c>
      <c r="B49" t="s">
        <v>881</v>
      </c>
      <c r="C49" t="s">
        <v>756</v>
      </c>
      <c r="D49">
        <v>50</v>
      </c>
      <c r="E49">
        <v>35</v>
      </c>
      <c r="F49">
        <v>10</v>
      </c>
      <c r="G49" t="s">
        <v>757</v>
      </c>
      <c r="H49" t="s">
        <v>843</v>
      </c>
      <c r="I49" t="s">
        <v>882</v>
      </c>
    </row>
    <row r="50" spans="1:9" x14ac:dyDescent="0.3">
      <c r="A50">
        <v>-112</v>
      </c>
      <c r="B50" t="s">
        <v>883</v>
      </c>
      <c r="C50" t="s">
        <v>764</v>
      </c>
      <c r="D50">
        <v>0</v>
      </c>
      <c r="E50">
        <v>0</v>
      </c>
      <c r="F50">
        <v>-1</v>
      </c>
      <c r="G50" t="s">
        <v>765</v>
      </c>
      <c r="H50" t="s">
        <v>498</v>
      </c>
      <c r="I50" t="s">
        <v>884</v>
      </c>
    </row>
    <row r="51" spans="1:9" x14ac:dyDescent="0.3">
      <c r="A51">
        <v>-111</v>
      </c>
      <c r="B51" t="s">
        <v>885</v>
      </c>
      <c r="C51" t="s">
        <v>756</v>
      </c>
      <c r="D51">
        <v>20</v>
      </c>
      <c r="E51">
        <v>12</v>
      </c>
      <c r="F51">
        <v>5</v>
      </c>
      <c r="G51" t="s">
        <v>757</v>
      </c>
      <c r="H51" t="s">
        <v>886</v>
      </c>
      <c r="I51" t="s">
        <v>887</v>
      </c>
    </row>
    <row r="52" spans="1:9" x14ac:dyDescent="0.3">
      <c r="A52">
        <v>-110</v>
      </c>
      <c r="B52" t="s">
        <v>888</v>
      </c>
      <c r="C52" t="s">
        <v>764</v>
      </c>
      <c r="D52">
        <v>0</v>
      </c>
      <c r="E52">
        <v>0</v>
      </c>
      <c r="F52">
        <v>-1</v>
      </c>
      <c r="G52" t="s">
        <v>765</v>
      </c>
      <c r="H52" t="s">
        <v>58</v>
      </c>
      <c r="I52" t="s">
        <v>889</v>
      </c>
    </row>
    <row r="53" spans="1:9" x14ac:dyDescent="0.3">
      <c r="A53">
        <v>-109</v>
      </c>
      <c r="B53" t="s">
        <v>890</v>
      </c>
      <c r="C53" t="s">
        <v>756</v>
      </c>
      <c r="D53">
        <v>35</v>
      </c>
      <c r="E53">
        <v>18</v>
      </c>
      <c r="F53">
        <v>3</v>
      </c>
      <c r="G53" t="s">
        <v>765</v>
      </c>
      <c r="H53" t="s">
        <v>891</v>
      </c>
      <c r="I53" t="s">
        <v>892</v>
      </c>
    </row>
    <row r="54" spans="1:9" x14ac:dyDescent="0.3">
      <c r="A54">
        <v>-108</v>
      </c>
      <c r="B54" t="s">
        <v>893</v>
      </c>
      <c r="C54" t="s">
        <v>756</v>
      </c>
      <c r="D54">
        <v>28</v>
      </c>
      <c r="E54">
        <v>12</v>
      </c>
      <c r="F54">
        <v>5</v>
      </c>
      <c r="G54" t="s">
        <v>757</v>
      </c>
      <c r="H54" t="s">
        <v>437</v>
      </c>
      <c r="I54" t="s">
        <v>894</v>
      </c>
    </row>
    <row r="55" spans="1:9" x14ac:dyDescent="0.3">
      <c r="A55">
        <v>-107</v>
      </c>
      <c r="B55" t="s">
        <v>895</v>
      </c>
      <c r="C55" t="s">
        <v>756</v>
      </c>
      <c r="D55">
        <v>45</v>
      </c>
      <c r="E55">
        <v>30</v>
      </c>
      <c r="F55">
        <v>2</v>
      </c>
      <c r="G55" t="s">
        <v>757</v>
      </c>
      <c r="H55" t="s">
        <v>896</v>
      </c>
      <c r="I55" t="s">
        <v>897</v>
      </c>
    </row>
    <row r="56" spans="1:9" x14ac:dyDescent="0.3">
      <c r="A56">
        <v>-106</v>
      </c>
      <c r="B56" t="s">
        <v>898</v>
      </c>
      <c r="C56" t="s">
        <v>756</v>
      </c>
      <c r="D56">
        <v>28</v>
      </c>
      <c r="E56">
        <v>12</v>
      </c>
      <c r="F56">
        <v>1</v>
      </c>
      <c r="G56" t="s">
        <v>757</v>
      </c>
      <c r="H56" t="s">
        <v>425</v>
      </c>
      <c r="I56" t="s">
        <v>899</v>
      </c>
    </row>
    <row r="57" spans="1:9" x14ac:dyDescent="0.3">
      <c r="A57">
        <v>-105</v>
      </c>
      <c r="B57" t="s">
        <v>900</v>
      </c>
      <c r="C57" t="s">
        <v>764</v>
      </c>
      <c r="D57">
        <v>0</v>
      </c>
      <c r="E57">
        <v>0</v>
      </c>
      <c r="F57">
        <v>-1</v>
      </c>
      <c r="G57" t="s">
        <v>765</v>
      </c>
      <c r="H57" t="s">
        <v>901</v>
      </c>
      <c r="I57" t="s">
        <v>902</v>
      </c>
    </row>
    <row r="58" spans="1:9" x14ac:dyDescent="0.3">
      <c r="A58">
        <v>-104</v>
      </c>
      <c r="B58" t="s">
        <v>903</v>
      </c>
      <c r="C58" t="s">
        <v>764</v>
      </c>
      <c r="D58">
        <v>0</v>
      </c>
      <c r="E58">
        <v>0</v>
      </c>
      <c r="F58">
        <v>-1</v>
      </c>
      <c r="G58" t="s">
        <v>765</v>
      </c>
      <c r="H58" t="s">
        <v>904</v>
      </c>
      <c r="I58" t="s">
        <v>905</v>
      </c>
    </row>
    <row r="59" spans="1:9" x14ac:dyDescent="0.3">
      <c r="A59">
        <v>-103</v>
      </c>
      <c r="B59" t="s">
        <v>906</v>
      </c>
      <c r="C59" t="s">
        <v>764</v>
      </c>
      <c r="D59">
        <v>0</v>
      </c>
      <c r="E59">
        <v>0</v>
      </c>
      <c r="F59">
        <v>-1</v>
      </c>
      <c r="G59" t="s">
        <v>757</v>
      </c>
      <c r="H59" t="s">
        <v>907</v>
      </c>
      <c r="I59" t="s">
        <v>908</v>
      </c>
    </row>
    <row r="60" spans="1:9" x14ac:dyDescent="0.3">
      <c r="A60">
        <v>-102</v>
      </c>
      <c r="B60" t="s">
        <v>909</v>
      </c>
      <c r="C60" t="s">
        <v>764</v>
      </c>
      <c r="D60">
        <v>0</v>
      </c>
      <c r="E60">
        <v>0</v>
      </c>
      <c r="F60">
        <v>-1</v>
      </c>
      <c r="G60" t="s">
        <v>765</v>
      </c>
      <c r="H60" t="s">
        <v>415</v>
      </c>
      <c r="I60" t="s">
        <v>910</v>
      </c>
    </row>
    <row r="61" spans="1:9" x14ac:dyDescent="0.3">
      <c r="A61">
        <v>-101</v>
      </c>
      <c r="B61" t="s">
        <v>911</v>
      </c>
      <c r="C61" t="s">
        <v>764</v>
      </c>
      <c r="D61">
        <v>0</v>
      </c>
      <c r="E61">
        <v>0</v>
      </c>
      <c r="F61">
        <v>-1</v>
      </c>
      <c r="G61" t="s">
        <v>765</v>
      </c>
      <c r="H61" t="s">
        <v>275</v>
      </c>
      <c r="I61" t="s">
        <v>912</v>
      </c>
    </row>
    <row r="62" spans="1:9" x14ac:dyDescent="0.3">
      <c r="A62">
        <v>-100</v>
      </c>
      <c r="B62" t="s">
        <v>913</v>
      </c>
      <c r="C62" t="s">
        <v>756</v>
      </c>
      <c r="D62">
        <v>20</v>
      </c>
      <c r="E62">
        <v>20</v>
      </c>
      <c r="F62">
        <v>2</v>
      </c>
      <c r="G62" t="s">
        <v>765</v>
      </c>
      <c r="H62" t="s">
        <v>118</v>
      </c>
      <c r="I62" t="s">
        <v>914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monsters</vt:lpstr>
      <vt:lpstr>equipments</vt:lpstr>
      <vt:lpstr>skills</vt:lpstr>
      <vt:lpstr>装备技能索引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LZQ</dc:creator>
  <cp:lastModifiedBy>智祺 刘</cp:lastModifiedBy>
  <dcterms:created xsi:type="dcterms:W3CDTF">2015-06-05T18:19:34Z</dcterms:created>
  <dcterms:modified xsi:type="dcterms:W3CDTF">2026-08-25T03:34:48Z</dcterms:modified>
</cp:coreProperties>
</file>