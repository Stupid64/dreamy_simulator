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1" autoFilterDateGrouping="1"/>
  </bookViews>
  <sheets>
    <sheet name="monsters" sheetId="1" state="visible" r:id="rId1"/>
    <sheet name="equipments" sheetId="2" state="visible" r:id="rId2"/>
    <sheet name="skills" sheetId="3" state="visible" r:id="rId3"/>
    <sheet name="装备技能索引" sheetId="4" state="visible" r:id="rId4"/>
  </sheets>
  <externalReferences>
    <externalReference r:id="rId5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rgb="FFFFC000"/>
      <sz val="11"/>
      <scheme val="minor"/>
    </font>
    <font>
      <name val="宋体"/>
      <charset val="134"/>
      <family val="3"/>
      <color rgb="FF000000"/>
      <sz val="11"/>
    </font>
    <font>
      <name val="等线"/>
      <charset val="134"/>
      <family val="3"/>
      <color rgb="FF000000"/>
      <sz val="11"/>
      <scheme val="minor"/>
    </font>
    <font>
      <name val="宋体"/>
      <charset val="134"/>
      <family val="3"/>
      <color rgb="FFFF0000"/>
      <sz val="11"/>
    </font>
    <font>
      <name val="等线"/>
      <charset val="134"/>
      <family val="3"/>
      <color rgb="FF00B0F0"/>
      <sz val="11"/>
      <scheme val="minor"/>
    </font>
    <font>
      <name val="等线"/>
      <charset val="134"/>
      <family val="3"/>
      <color rgb="FF15803D"/>
      <sz val="11"/>
      <scheme val="minor"/>
    </font>
    <font>
      <name val="等线"/>
      <charset val="134"/>
      <family val="3"/>
      <color rgb="FF6D28D9"/>
      <sz val="11"/>
      <scheme val="minor"/>
    </font>
    <font>
      <name val="等线"/>
      <charset val="134"/>
      <family val="3"/>
      <color rgb="FF1D4ED8"/>
      <sz val="11"/>
      <scheme val="minor"/>
    </font>
    <font>
      <name val="等线"/>
      <charset val="134"/>
      <family val="3"/>
      <color rgb="FFB91C1C"/>
      <sz val="11"/>
      <scheme val="minor"/>
    </font>
    <font>
      <name val="等线"/>
      <charset val="134"/>
      <family val="3"/>
      <color rgb="FF92400E"/>
      <sz val="11"/>
      <scheme val="minor"/>
    </font>
    <font>
      <name val="等线"/>
      <charset val="134"/>
      <family val="3"/>
      <color rgb="FFD12F60"/>
      <sz val="11"/>
      <scheme val="minor"/>
    </font>
    <font>
      <name val="等线"/>
      <charset val="134"/>
      <family val="3"/>
      <color rgb="FFB45309"/>
      <sz val="11"/>
      <scheme val="minor"/>
    </font>
    <font>
      <name val="宋体"/>
      <charset val="134"/>
      <family val="3"/>
      <color rgb="FFD12F6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Downloads/DreamY&#32593;&#39029;&#29256;&#23646;&#24615;&#35745;&#31639;&#22120;%20%20(8)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属性计算器"/>
      <sheetName val="属性计算器2"/>
      <sheetName val="装备信息"/>
      <sheetName val="怪物信息"/>
      <sheetName val="掉落表"/>
      <sheetName val="强化"/>
      <sheetName val="Sheet1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756.29486242755604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topLeftCell="A130" zoomScale="85" zoomScaleNormal="85" workbookViewId="0">
      <selection activeCell="O147" sqref="O147"/>
    </sheetView>
  </sheetViews>
  <sheetFormatPr baseColWidth="8" defaultColWidth="8" defaultRowHeight="14"/>
  <cols>
    <col width="9.75" customWidth="1" min="1" max="1"/>
    <col width="9.1640625" customWidth="1" min="2" max="2"/>
    <col width="18" customWidth="1" min="3" max="3"/>
    <col width="9.1640625" customWidth="1" min="4" max="4"/>
    <col width="6" customWidth="1" min="5" max="6"/>
    <col width="5.25" customWidth="1" min="7" max="10"/>
    <col width="7.1640625" customWidth="1" min="11" max="11"/>
    <col width="9.08203125" customWidth="1" min="12" max="12"/>
    <col width="9.6640625" customWidth="1" min="13" max="13"/>
    <col width="15.33203125" customWidth="1" min="14" max="19"/>
  </cols>
  <sheetData>
    <row r="1">
      <c r="A1" s="2" t="inlineStr">
        <is>
          <t>副本次序</t>
        </is>
      </c>
      <c r="B1" s="7" t="inlineStr">
        <is>
          <t>编号</t>
        </is>
      </c>
      <c r="C1" s="7" t="inlineStr">
        <is>
          <t>名称</t>
        </is>
      </c>
      <c r="D1" s="7" t="inlineStr">
        <is>
          <t>类型</t>
        </is>
      </c>
      <c r="E1" s="7" t="inlineStr">
        <is>
          <t>金币</t>
        </is>
      </c>
      <c r="F1" s="7" t="inlineStr">
        <is>
          <t>经验</t>
        </is>
      </c>
      <c r="G1" s="7" t="inlineStr">
        <is>
          <t>攻击</t>
        </is>
      </c>
      <c r="H1" s="7" t="inlineStr">
        <is>
          <t>防御</t>
        </is>
      </c>
      <c r="I1" s="7" t="inlineStr">
        <is>
          <t>生命</t>
        </is>
      </c>
      <c r="J1" s="7" t="inlineStr">
        <is>
          <t>敏捷</t>
        </is>
      </c>
      <c r="K1" s="7" t="inlineStr">
        <is>
          <t>免伤率</t>
        </is>
      </c>
      <c r="L1" s="7" t="inlineStr">
        <is>
          <t>等效生命</t>
        </is>
      </c>
      <c r="M1" s="7" t="inlineStr">
        <is>
          <t>战力系数</t>
        </is>
      </c>
      <c r="N1" s="2" t="inlineStr">
        <is>
          <t>掉落物1</t>
        </is>
      </c>
      <c r="O1" s="2" t="inlineStr">
        <is>
          <t>掉落物2</t>
        </is>
      </c>
      <c r="P1" s="2" t="inlineStr">
        <is>
          <t>掉落物3</t>
        </is>
      </c>
      <c r="Q1" s="2" t="inlineStr">
        <is>
          <t>掉落物4</t>
        </is>
      </c>
      <c r="R1" s="2" t="inlineStr">
        <is>
          <t>掉落物5</t>
        </is>
      </c>
      <c r="S1" s="2" t="inlineStr">
        <is>
          <t>掉落物6</t>
        </is>
      </c>
    </row>
    <row r="2">
      <c r="A2" t="inlineStr">
        <is>
          <t>1异变丛林</t>
        </is>
      </c>
      <c r="B2" s="8" t="inlineStr">
        <is>
          <t>0</t>
        </is>
      </c>
      <c r="C2" s="9" t="inlineStr">
        <is>
          <t>地精</t>
        </is>
      </c>
      <c r="D2" s="8" t="inlineStr">
        <is>
          <t>normal</t>
        </is>
      </c>
      <c r="E2" s="8" t="n">
        <v>50</v>
      </c>
      <c r="F2" s="8" t="n">
        <v>10</v>
      </c>
      <c r="G2" s="8" t="n">
        <v>14</v>
      </c>
      <c r="H2" s="8" t="n">
        <v>10</v>
      </c>
      <c r="I2" s="8" t="n">
        <v>60</v>
      </c>
      <c r="J2" s="8" t="n">
        <v>20</v>
      </c>
      <c r="K2" s="8">
        <f>ROUND(H2/(H2+100),4)</f>
        <v/>
      </c>
      <c r="L2" s="8">
        <f>ROUND(I2*(H2+100)/100,2)</f>
        <v/>
      </c>
      <c r="M2" s="8">
        <f>ROUND(L2*G2,2)</f>
        <v/>
      </c>
    </row>
    <row r="3">
      <c r="A3" t="n">
        <v>1</v>
      </c>
      <c r="B3" s="8" t="inlineStr">
        <is>
          <t>1</t>
        </is>
      </c>
      <c r="C3" s="9" t="inlineStr">
        <is>
          <t>烈乌</t>
        </is>
      </c>
      <c r="D3" s="8" t="inlineStr">
        <is>
          <t>normal</t>
        </is>
      </c>
      <c r="E3" s="8" t="n">
        <v>40</v>
      </c>
      <c r="F3" s="8" t="n">
        <v>8</v>
      </c>
      <c r="G3" s="8" t="n">
        <v>20</v>
      </c>
      <c r="H3" s="8" t="n">
        <v>3</v>
      </c>
      <c r="I3" s="8" t="n">
        <v>60</v>
      </c>
      <c r="J3" s="8" t="n">
        <v>25</v>
      </c>
      <c r="K3" s="8">
        <f>ROUND(H3/(H3+100),4)</f>
        <v/>
      </c>
      <c r="L3" s="8">
        <f>ROUND(I3*(H3+100)/100,2)</f>
        <v/>
      </c>
      <c r="M3" s="8">
        <f>ROUND(L3*G3,2)</f>
        <v/>
      </c>
    </row>
    <row r="4">
      <c r="A4" t="n">
        <v>1</v>
      </c>
      <c r="B4" s="8" t="inlineStr">
        <is>
          <t>2</t>
        </is>
      </c>
      <c r="C4" s="9" t="inlineStr">
        <is>
          <t>异蛇</t>
        </is>
      </c>
      <c r="D4" s="8" t="inlineStr">
        <is>
          <t>normal</t>
        </is>
      </c>
      <c r="E4" s="8" t="n">
        <v>40</v>
      </c>
      <c r="F4" s="8" t="n">
        <v>8</v>
      </c>
      <c r="G4" s="8" t="n">
        <v>18</v>
      </c>
      <c r="H4" s="8" t="n">
        <v>5</v>
      </c>
      <c r="I4" s="8" t="n">
        <v>60</v>
      </c>
      <c r="J4" s="8" t="n">
        <v>20</v>
      </c>
      <c r="K4" s="8">
        <f>ROUND(H4/(H4+100),4)</f>
        <v/>
      </c>
      <c r="L4" s="8">
        <f>ROUND(I4*(H4+100)/100,2)</f>
        <v/>
      </c>
      <c r="M4" s="8">
        <f>ROUND(L4*G4,2)</f>
        <v/>
      </c>
    </row>
    <row r="5">
      <c r="A5" t="n">
        <v>1</v>
      </c>
      <c r="B5" s="8" t="inlineStr">
        <is>
          <t>3</t>
        </is>
      </c>
      <c r="C5" s="9" t="inlineStr">
        <is>
          <t>野猪</t>
        </is>
      </c>
      <c r="D5" s="8" t="inlineStr">
        <is>
          <t>normal</t>
        </is>
      </c>
      <c r="E5" s="8" t="n">
        <v>70</v>
      </c>
      <c r="F5" s="8" t="n">
        <v>15</v>
      </c>
      <c r="G5" s="8" t="n">
        <v>14</v>
      </c>
      <c r="H5" s="8" t="n">
        <v>16</v>
      </c>
      <c r="I5" s="8" t="n">
        <v>90</v>
      </c>
      <c r="J5" s="8" t="n">
        <v>10</v>
      </c>
      <c r="K5" s="8">
        <f>ROUND(H5/(H5+100),4)</f>
        <v/>
      </c>
      <c r="L5" s="8">
        <f>ROUND(I5*(H5+100)/100,2)</f>
        <v/>
      </c>
      <c r="M5" s="8">
        <f>ROUND(L5*G5,2)</f>
        <v/>
      </c>
    </row>
    <row r="6">
      <c r="A6" t="n">
        <v>1</v>
      </c>
      <c r="B6" s="8" t="inlineStr">
        <is>
          <t>4</t>
        </is>
      </c>
      <c r="C6" s="9" t="inlineStr">
        <is>
          <t>巨乌</t>
        </is>
      </c>
      <c r="D6" s="8" t="inlineStr">
        <is>
          <t>normal</t>
        </is>
      </c>
      <c r="E6" s="8" t="n">
        <v>60</v>
      </c>
      <c r="F6" s="8" t="n">
        <v>12</v>
      </c>
      <c r="G6" s="8" t="n">
        <v>16</v>
      </c>
      <c r="H6" s="8" t="n">
        <v>9</v>
      </c>
      <c r="I6" s="8" t="n">
        <v>70</v>
      </c>
      <c r="J6" s="8" t="n">
        <v>12</v>
      </c>
      <c r="K6" s="8">
        <f>ROUND(H6/(H6+100),4)</f>
        <v/>
      </c>
      <c r="L6" s="8">
        <f>ROUND(I6*(H6+100)/100,2)</f>
        <v/>
      </c>
      <c r="M6" s="8">
        <f>ROUND(L6*G6,2)</f>
        <v/>
      </c>
    </row>
    <row r="7">
      <c r="A7" t="n">
        <v>1</v>
      </c>
      <c r="B7" s="8" t="inlineStr">
        <is>
          <t>5</t>
        </is>
      </c>
      <c r="C7" s="9" t="inlineStr">
        <is>
          <t>地精长者</t>
        </is>
      </c>
      <c r="D7" s="8" t="inlineStr">
        <is>
          <t>normal</t>
        </is>
      </c>
      <c r="E7" s="8" t="n">
        <v>60</v>
      </c>
      <c r="F7" s="8" t="n">
        <v>12</v>
      </c>
      <c r="G7" s="8" t="n">
        <v>20</v>
      </c>
      <c r="H7" s="8" t="n">
        <v>10</v>
      </c>
      <c r="I7" s="8" t="n">
        <v>70</v>
      </c>
      <c r="J7" s="8" t="n">
        <v>18</v>
      </c>
      <c r="K7" s="8">
        <f>ROUND(H7/(H7+100),4)</f>
        <v/>
      </c>
      <c r="L7" s="8">
        <f>ROUND(I7*(H7+100)/100,2)</f>
        <v/>
      </c>
      <c r="M7" s="8">
        <f>ROUND(L7*G7,2)</f>
        <v/>
      </c>
    </row>
    <row r="8">
      <c r="A8" t="n">
        <v>1</v>
      </c>
      <c r="B8" s="8" t="inlineStr">
        <is>
          <t>6</t>
        </is>
      </c>
      <c r="C8" s="10" t="inlineStr">
        <is>
          <t>钢甲虫</t>
        </is>
      </c>
      <c r="D8" s="8" t="inlineStr">
        <is>
          <t>elite</t>
        </is>
      </c>
      <c r="E8" s="8" t="n">
        <v>60</v>
      </c>
      <c r="F8" s="8" t="n">
        <v>12</v>
      </c>
      <c r="G8" s="8" t="n">
        <v>10</v>
      </c>
      <c r="H8" s="8" t="n">
        <v>30</v>
      </c>
      <c r="I8" s="8" t="n">
        <v>65</v>
      </c>
      <c r="J8" s="8" t="n">
        <v>8</v>
      </c>
      <c r="K8" s="8">
        <f>ROUND(H8/(H8+100),4)</f>
        <v/>
      </c>
      <c r="L8" s="8">
        <f>ROUND(I8*(H8+100)/100,2)</f>
        <v/>
      </c>
      <c r="M8" s="8">
        <f>ROUND(L8*G8,2)</f>
        <v/>
      </c>
      <c r="N8" t="inlineStr">
        <is>
          <t>星光戒指</t>
        </is>
      </c>
    </row>
    <row r="9">
      <c r="A9" t="n">
        <v>1</v>
      </c>
      <c r="B9" s="8" t="inlineStr">
        <is>
          <t>7</t>
        </is>
      </c>
      <c r="C9" s="10" t="inlineStr">
        <is>
          <t>土灵</t>
        </is>
      </c>
      <c r="D9" s="8" t="inlineStr">
        <is>
          <t>elite</t>
        </is>
      </c>
      <c r="E9" s="8" t="n">
        <v>60</v>
      </c>
      <c r="F9" s="8" t="n">
        <v>10</v>
      </c>
      <c r="G9" s="8" t="n">
        <v>10</v>
      </c>
      <c r="H9" s="8" t="n">
        <v>25</v>
      </c>
      <c r="I9" s="8" t="n">
        <v>80</v>
      </c>
      <c r="J9" s="8" t="n">
        <v>5</v>
      </c>
      <c r="K9" s="8">
        <f>ROUND(H9/(H9+100),4)</f>
        <v/>
      </c>
      <c r="L9" s="8">
        <f>ROUND(I9*(H9+100)/100,2)</f>
        <v/>
      </c>
      <c r="M9" s="8">
        <f>ROUND(L9*G9,2)</f>
        <v/>
      </c>
      <c r="N9" s="3" t="inlineStr">
        <is>
          <t>石英项链</t>
        </is>
      </c>
    </row>
    <row r="10">
      <c r="A10" t="n">
        <v>1</v>
      </c>
      <c r="B10" s="8" t="inlineStr">
        <is>
          <t>8</t>
        </is>
      </c>
      <c r="C10" s="10" t="inlineStr">
        <is>
          <t>乌鸟</t>
        </is>
      </c>
      <c r="D10" s="8" t="inlineStr">
        <is>
          <t>elite</t>
        </is>
      </c>
      <c r="E10" s="8" t="n">
        <v>60</v>
      </c>
      <c r="F10" s="8" t="n">
        <v>12</v>
      </c>
      <c r="G10" s="8" t="n">
        <v>16</v>
      </c>
      <c r="H10" s="8" t="n">
        <v>8</v>
      </c>
      <c r="I10" s="8" t="n">
        <v>70</v>
      </c>
      <c r="J10" s="8" t="n">
        <v>18</v>
      </c>
      <c r="K10" s="8">
        <f>ROUND(H10/(H10+100),4)</f>
        <v/>
      </c>
      <c r="L10" s="8">
        <f>ROUND(I10*(H10+100)/100,2)</f>
        <v/>
      </c>
      <c r="M10" s="8">
        <f>ROUND(L10*G10,2)</f>
        <v/>
      </c>
      <c r="N10" t="inlineStr">
        <is>
          <t>皮靴</t>
        </is>
      </c>
    </row>
    <row r="11">
      <c r="A11" t="n">
        <v>1</v>
      </c>
      <c r="B11" s="8" t="inlineStr">
        <is>
          <t>9</t>
        </is>
      </c>
      <c r="C11" s="11" t="inlineStr">
        <is>
          <t>BOSS-丛林巫师</t>
        </is>
      </c>
      <c r="D11" s="8" t="inlineStr">
        <is>
          <t>boss</t>
        </is>
      </c>
      <c r="E11" s="8" t="n">
        <v>150</v>
      </c>
      <c r="F11" s="8" t="n">
        <v>30</v>
      </c>
      <c r="G11" s="8" t="n">
        <v>20</v>
      </c>
      <c r="H11" s="8" t="n">
        <v>10</v>
      </c>
      <c r="I11" s="8" t="n">
        <v>140</v>
      </c>
      <c r="J11" s="8" t="n">
        <v>8</v>
      </c>
      <c r="K11" s="8">
        <f>ROUND(H11/(H11+100),4)</f>
        <v/>
      </c>
      <c r="L11" s="8">
        <f>ROUND(I11*(H11+100)/100,2)</f>
        <v/>
      </c>
      <c r="M11" s="8">
        <f>ROUND(L11*G11,2)</f>
        <v/>
      </c>
      <c r="N11" s="3" t="inlineStr">
        <is>
          <t>藤甲</t>
        </is>
      </c>
      <c r="O11" t="inlineStr">
        <is>
          <t>铁剑</t>
        </is>
      </c>
      <c r="P11" t="inlineStr">
        <is>
          <t>皮靴</t>
        </is>
      </c>
    </row>
    <row r="12">
      <c r="A12" t="inlineStr">
        <is>
          <t>2黄沙之荒</t>
        </is>
      </c>
      <c r="B12" s="8" t="inlineStr">
        <is>
          <t>10</t>
        </is>
      </c>
      <c r="C12" s="9" t="inlineStr">
        <is>
          <t>沙虫</t>
        </is>
      </c>
      <c r="D12" s="8" t="inlineStr">
        <is>
          <t>normal</t>
        </is>
      </c>
      <c r="E12" s="8" t="n">
        <v>58</v>
      </c>
      <c r="F12" s="8" t="n">
        <v>20</v>
      </c>
      <c r="G12" s="8" t="n">
        <v>20</v>
      </c>
      <c r="H12" s="8" t="n">
        <v>15</v>
      </c>
      <c r="I12" s="8" t="n">
        <v>120</v>
      </c>
      <c r="J12" s="8" t="n">
        <v>15</v>
      </c>
      <c r="K12" s="8">
        <f>ROUND(H12/(H12+100),4)</f>
        <v/>
      </c>
      <c r="L12" s="8">
        <f>ROUND(I12*(H12+100)/100,2)</f>
        <v/>
      </c>
      <c r="M12" s="8">
        <f>ROUND(L12*G12,2)</f>
        <v/>
      </c>
    </row>
    <row r="13">
      <c r="A13" t="n">
        <v>2</v>
      </c>
      <c r="B13" s="8" t="inlineStr">
        <is>
          <t>11</t>
        </is>
      </c>
      <c r="C13" s="9" t="inlineStr">
        <is>
          <t>沙蝎</t>
        </is>
      </c>
      <c r="D13" s="8" t="inlineStr">
        <is>
          <t>normal</t>
        </is>
      </c>
      <c r="E13" s="8" t="n">
        <v>65</v>
      </c>
      <c r="F13" s="8" t="n">
        <v>18</v>
      </c>
      <c r="G13" s="8" t="n">
        <v>30</v>
      </c>
      <c r="H13" s="8" t="n">
        <v>12</v>
      </c>
      <c r="I13" s="8" t="n">
        <v>100</v>
      </c>
      <c r="J13" s="8" t="n">
        <v>12</v>
      </c>
      <c r="K13" s="8">
        <f>ROUND(H13/(H13+100),4)</f>
        <v/>
      </c>
      <c r="L13" s="8">
        <f>ROUND(I13*(H13+100)/100,2)</f>
        <v/>
      </c>
      <c r="M13" s="8">
        <f>ROUND(L13*G13,2)</f>
        <v/>
      </c>
    </row>
    <row r="14">
      <c r="A14" t="n">
        <v>2</v>
      </c>
      <c r="B14" s="8" t="inlineStr">
        <is>
          <t>12</t>
        </is>
      </c>
      <c r="C14" s="9" t="inlineStr">
        <is>
          <t>沙漠士兵</t>
        </is>
      </c>
      <c r="D14" s="8" t="inlineStr">
        <is>
          <t>normal</t>
        </is>
      </c>
      <c r="E14" s="8" t="n">
        <v>72</v>
      </c>
      <c r="F14" s="8" t="n">
        <v>22</v>
      </c>
      <c r="G14" s="8" t="n">
        <v>25</v>
      </c>
      <c r="H14" s="8" t="n">
        <v>10</v>
      </c>
      <c r="I14" s="8" t="n">
        <v>140</v>
      </c>
      <c r="J14" s="8" t="n">
        <v>15</v>
      </c>
      <c r="K14" s="8">
        <f>ROUND(H14/(H14+100),4)</f>
        <v/>
      </c>
      <c r="L14" s="8">
        <f>ROUND(I14*(H14+100)/100,2)</f>
        <v/>
      </c>
      <c r="M14" s="8">
        <f>ROUND(L14*G14,2)</f>
        <v/>
      </c>
      <c r="N14" t="inlineStr">
        <is>
          <t>骨盔</t>
        </is>
      </c>
    </row>
    <row r="15">
      <c r="A15" t="n">
        <v>2</v>
      </c>
      <c r="B15" s="8" t="inlineStr">
        <is>
          <t>13</t>
        </is>
      </c>
      <c r="C15" s="9" t="inlineStr">
        <is>
          <t>流浪者</t>
        </is>
      </c>
      <c r="D15" s="8" t="inlineStr">
        <is>
          <t>normal</t>
        </is>
      </c>
      <c r="E15" s="8" t="n">
        <v>60</v>
      </c>
      <c r="F15" s="8" t="n">
        <v>20</v>
      </c>
      <c r="G15" s="8" t="n">
        <v>35</v>
      </c>
      <c r="H15" s="8" t="n">
        <v>10</v>
      </c>
      <c r="I15" s="8" t="n">
        <v>85</v>
      </c>
      <c r="J15" s="8" t="n">
        <v>18</v>
      </c>
      <c r="K15" s="8">
        <f>ROUND(H15/(H15+100),4)</f>
        <v/>
      </c>
      <c r="L15" s="8">
        <f>ROUND(I15*(H15+100)/100,2)</f>
        <v/>
      </c>
      <c r="M15" s="8">
        <f>ROUND(L15*G15,2)</f>
        <v/>
      </c>
    </row>
    <row r="16">
      <c r="A16" t="n">
        <v>2</v>
      </c>
      <c r="B16" s="8" t="inlineStr">
        <is>
          <t>14</t>
        </is>
      </c>
      <c r="C16" s="9" t="inlineStr">
        <is>
          <t>飞沙兽</t>
        </is>
      </c>
      <c r="D16" s="8" t="inlineStr">
        <is>
          <t>normal</t>
        </is>
      </c>
      <c r="E16" s="8" t="n">
        <v>66</v>
      </c>
      <c r="F16" s="8" t="n">
        <v>20</v>
      </c>
      <c r="G16" s="8" t="n">
        <v>15</v>
      </c>
      <c r="H16" s="8" t="n">
        <v>25</v>
      </c>
      <c r="I16" s="8" t="n">
        <v>160</v>
      </c>
      <c r="J16" s="8" t="n">
        <v>20</v>
      </c>
      <c r="K16" s="8">
        <f>ROUND(H16/(H16+100),4)</f>
        <v/>
      </c>
      <c r="L16" s="8">
        <f>ROUND(I16*(H16+100)/100,2)</f>
        <v/>
      </c>
      <c r="M16" s="8">
        <f>ROUND(L16*G16,2)</f>
        <v/>
      </c>
      <c r="N16" t="inlineStr">
        <is>
          <t>清泉坠</t>
        </is>
      </c>
    </row>
    <row r="17">
      <c r="A17" t="n">
        <v>2</v>
      </c>
      <c r="B17" s="8" t="inlineStr">
        <is>
          <t>15</t>
        </is>
      </c>
      <c r="C17" s="9" t="inlineStr">
        <is>
          <t>沙漠蛟蛇</t>
        </is>
      </c>
      <c r="D17" s="8" t="inlineStr">
        <is>
          <t>normal</t>
        </is>
      </c>
      <c r="E17" s="8" t="n">
        <v>62</v>
      </c>
      <c r="F17" s="8" t="n">
        <v>20</v>
      </c>
      <c r="G17" s="8" t="n">
        <v>30</v>
      </c>
      <c r="H17" s="8" t="n">
        <v>12</v>
      </c>
      <c r="I17" s="8" t="n">
        <v>100</v>
      </c>
      <c r="J17" s="8" t="n">
        <v>18</v>
      </c>
      <c r="K17" s="8">
        <f>ROUND(H17/(H17+100),4)</f>
        <v/>
      </c>
      <c r="L17" s="8">
        <f>ROUND(I17*(H17+100)/100,2)</f>
        <v/>
      </c>
      <c r="M17" s="8">
        <f>ROUND(L17*G17,2)</f>
        <v/>
      </c>
      <c r="N17" t="inlineStr">
        <is>
          <t>刚刃</t>
        </is>
      </c>
    </row>
    <row r="18">
      <c r="A18" t="n">
        <v>2</v>
      </c>
      <c r="B18" s="8" t="inlineStr">
        <is>
          <t>16</t>
        </is>
      </c>
      <c r="C18" s="10" t="inlineStr">
        <is>
          <t>荒野突袭者</t>
        </is>
      </c>
      <c r="D18" s="8" t="inlineStr">
        <is>
          <t>elite</t>
        </is>
      </c>
      <c r="E18" s="8" t="n">
        <v>65</v>
      </c>
      <c r="F18" s="8" t="n">
        <v>25</v>
      </c>
      <c r="G18" s="8" t="n">
        <v>30</v>
      </c>
      <c r="H18" s="8" t="n">
        <v>15</v>
      </c>
      <c r="I18" s="8" t="n">
        <v>115</v>
      </c>
      <c r="J18" s="8" t="n">
        <v>18</v>
      </c>
      <c r="K18" s="8">
        <f>ROUND(H18/(H18+100),4)</f>
        <v/>
      </c>
      <c r="L18" s="8">
        <f>ROUND(I18*(H18+100)/100,2)</f>
        <v/>
      </c>
      <c r="M18" s="8">
        <f>ROUND(L18*G18,2)</f>
        <v/>
      </c>
      <c r="N18" t="inlineStr">
        <is>
          <t>精制铁甲</t>
        </is>
      </c>
      <c r="O18" t="inlineStr">
        <is>
          <t>铁靴</t>
        </is>
      </c>
    </row>
    <row r="19">
      <c r="A19" t="n">
        <v>2</v>
      </c>
      <c r="B19" s="8" t="inlineStr">
        <is>
          <t>17</t>
        </is>
      </c>
      <c r="C19" s="10" t="inlineStr">
        <is>
          <t>荒野守卫者</t>
        </is>
      </c>
      <c r="D19" s="8" t="inlineStr">
        <is>
          <t>elite</t>
        </is>
      </c>
      <c r="E19" s="8" t="n">
        <v>85</v>
      </c>
      <c r="F19" s="8" t="n">
        <v>25</v>
      </c>
      <c r="G19" s="8" t="n">
        <v>18</v>
      </c>
      <c r="H19" s="8" t="n">
        <v>20</v>
      </c>
      <c r="I19" s="8" t="n">
        <v>180</v>
      </c>
      <c r="J19" s="8" t="n">
        <v>8</v>
      </c>
      <c r="K19" s="8">
        <f>ROUND(H19/(H19+100),4)</f>
        <v/>
      </c>
      <c r="L19" s="8">
        <f>ROUND(I19*(H19+100)/100,2)</f>
        <v/>
      </c>
      <c r="M19" s="8">
        <f>ROUND(L19*G19,2)</f>
        <v/>
      </c>
      <c r="N19" t="inlineStr">
        <is>
          <t>鳞甲</t>
        </is>
      </c>
      <c r="O19" s="3" t="inlineStr">
        <is>
          <t>石英项链</t>
        </is>
      </c>
    </row>
    <row r="20">
      <c r="A20" t="n">
        <v>2</v>
      </c>
      <c r="B20" s="8" t="inlineStr">
        <is>
          <t>18</t>
        </is>
      </c>
      <c r="C20" s="10" t="inlineStr">
        <is>
          <t>噬沙兽</t>
        </is>
      </c>
      <c r="D20" s="8" t="inlineStr">
        <is>
          <t>elite</t>
        </is>
      </c>
      <c r="E20" s="8" t="n">
        <v>80</v>
      </c>
      <c r="F20" s="8" t="n">
        <v>20</v>
      </c>
      <c r="G20" s="8" t="n">
        <v>16</v>
      </c>
      <c r="H20" s="8" t="n">
        <v>25</v>
      </c>
      <c r="I20" s="8" t="n">
        <v>150</v>
      </c>
      <c r="J20" s="8" t="n">
        <v>18</v>
      </c>
      <c r="K20" s="8">
        <f>ROUND(H20/(H20+100),4)</f>
        <v/>
      </c>
      <c r="L20" s="8">
        <f>ROUND(I20*(H20+100)/100,2)</f>
        <v/>
      </c>
      <c r="M20" s="8">
        <f>ROUND(L20*G20,2)</f>
        <v/>
      </c>
      <c r="N20" t="inlineStr">
        <is>
          <t>沙行靴</t>
        </is>
      </c>
      <c r="O20" t="inlineStr">
        <is>
          <t>星光戒指</t>
        </is>
      </c>
    </row>
    <row r="21">
      <c r="A21" t="n">
        <v>2</v>
      </c>
      <c r="B21" s="8" t="inlineStr">
        <is>
          <t>19</t>
        </is>
      </c>
      <c r="C21" s="11" t="inlineStr">
        <is>
          <t>BOSS-巨型沙虫</t>
        </is>
      </c>
      <c r="D21" s="8" t="inlineStr">
        <is>
          <t>boss</t>
        </is>
      </c>
      <c r="E21" s="8" t="n">
        <v>260</v>
      </c>
      <c r="F21" s="8" t="n">
        <v>50</v>
      </c>
      <c r="G21" s="8" t="n">
        <v>30</v>
      </c>
      <c r="H21" s="8" t="n">
        <v>25</v>
      </c>
      <c r="I21" s="8" t="n">
        <v>250</v>
      </c>
      <c r="J21" s="8" t="n">
        <v>25</v>
      </c>
      <c r="K21" s="8">
        <f>ROUND(H21/(H21+100),4)</f>
        <v/>
      </c>
      <c r="L21" s="8">
        <f>ROUND(I21*(H21+100)/100,2)</f>
        <v/>
      </c>
      <c r="M21" s="8">
        <f>ROUND(L21*G21,2)</f>
        <v/>
      </c>
      <c r="N21" s="3" t="inlineStr">
        <is>
          <t>沙漠弧光</t>
        </is>
      </c>
      <c r="O21" s="3" t="inlineStr">
        <is>
          <t>黄沙铠甲</t>
        </is>
      </c>
    </row>
    <row r="22">
      <c r="A22" t="inlineStr">
        <is>
          <t>3失落之城</t>
        </is>
      </c>
      <c r="B22" s="8" t="inlineStr">
        <is>
          <t>20</t>
        </is>
      </c>
      <c r="C22" s="9" t="inlineStr">
        <is>
          <t>迷失者</t>
        </is>
      </c>
      <c r="D22" s="8" t="inlineStr">
        <is>
          <t>normal</t>
        </is>
      </c>
      <c r="E22" s="8" t="n">
        <v>70</v>
      </c>
      <c r="F22" s="8" t="n">
        <v>35</v>
      </c>
      <c r="G22" s="8" t="n">
        <v>30</v>
      </c>
      <c r="H22" s="8" t="n">
        <v>20</v>
      </c>
      <c r="I22" s="8" t="n">
        <v>200</v>
      </c>
      <c r="J22" s="8" t="n">
        <v>10</v>
      </c>
      <c r="K22" s="8">
        <f>ROUND(H22/(H22+100),4)</f>
        <v/>
      </c>
      <c r="L22" s="8">
        <f>ROUND(I22*(H22+100)/100,2)</f>
        <v/>
      </c>
      <c r="M22" s="8">
        <f>ROUND(L22*G22,2)</f>
        <v/>
      </c>
    </row>
    <row r="23">
      <c r="A23" t="n">
        <v>3</v>
      </c>
      <c r="B23" s="8" t="inlineStr">
        <is>
          <t>21</t>
        </is>
      </c>
      <c r="C23" s="9" t="inlineStr">
        <is>
          <t>巡逻卫队</t>
        </is>
      </c>
      <c r="D23" s="8" t="inlineStr">
        <is>
          <t>normal</t>
        </is>
      </c>
      <c r="E23" s="8" t="n">
        <v>95</v>
      </c>
      <c r="F23" s="8" t="n">
        <v>38</v>
      </c>
      <c r="G23" s="8" t="n">
        <v>35</v>
      </c>
      <c r="H23" s="8" t="n">
        <v>25</v>
      </c>
      <c r="I23" s="8" t="n">
        <v>250</v>
      </c>
      <c r="J23" s="8" t="n">
        <v>18</v>
      </c>
      <c r="K23" s="8">
        <f>ROUND(H23/(H23+100),4)</f>
        <v/>
      </c>
      <c r="L23" s="8">
        <f>ROUND(I23*(H23+100)/100,2)</f>
        <v/>
      </c>
      <c r="M23" s="8">
        <f>ROUND(L23*G23,2)</f>
        <v/>
      </c>
    </row>
    <row r="24">
      <c r="A24" t="n">
        <v>3</v>
      </c>
      <c r="B24" s="8" t="inlineStr">
        <is>
          <t>22</t>
        </is>
      </c>
      <c r="C24" s="9" t="inlineStr">
        <is>
          <t>拾荒者</t>
        </is>
      </c>
      <c r="D24" s="8" t="inlineStr">
        <is>
          <t>normal</t>
        </is>
      </c>
      <c r="E24" s="8" t="n">
        <v>75</v>
      </c>
      <c r="F24" s="8" t="n">
        <v>30</v>
      </c>
      <c r="G24" s="8" t="n">
        <v>30</v>
      </c>
      <c r="H24" s="8" t="n">
        <v>20</v>
      </c>
      <c r="I24" s="8" t="n">
        <v>220</v>
      </c>
      <c r="J24" s="8" t="n">
        <v>15</v>
      </c>
      <c r="K24" s="8">
        <f>ROUND(H24/(H24+100),4)</f>
        <v/>
      </c>
      <c r="L24" s="8">
        <f>ROUND(I24*(H24+100)/100,2)</f>
        <v/>
      </c>
      <c r="M24" s="8">
        <f>ROUND(L24*G24,2)</f>
        <v/>
      </c>
    </row>
    <row r="25">
      <c r="A25" t="n">
        <v>3</v>
      </c>
      <c r="B25" s="8" t="inlineStr">
        <is>
          <t>23</t>
        </is>
      </c>
      <c r="C25" s="9" t="inlineStr">
        <is>
          <t>重斧战士</t>
        </is>
      </c>
      <c r="D25" s="8" t="inlineStr">
        <is>
          <t>normal</t>
        </is>
      </c>
      <c r="E25" s="8" t="n">
        <v>85</v>
      </c>
      <c r="F25" s="8" t="n">
        <v>45</v>
      </c>
      <c r="G25" s="8" t="n">
        <v>50</v>
      </c>
      <c r="H25" s="8" t="n">
        <v>20</v>
      </c>
      <c r="I25" s="8" t="n">
        <v>270</v>
      </c>
      <c r="J25" s="8" t="n">
        <v>5</v>
      </c>
      <c r="K25" s="8">
        <f>ROUND(H25/(H25+100),4)</f>
        <v/>
      </c>
      <c r="L25" s="8">
        <f>ROUND(I25*(H25+100)/100,2)</f>
        <v/>
      </c>
      <c r="M25" s="8">
        <f>ROUND(L25*G25,2)</f>
        <v/>
      </c>
    </row>
    <row r="26">
      <c r="A26" t="n">
        <v>3</v>
      </c>
      <c r="B26" s="8" t="inlineStr">
        <is>
          <t>24</t>
        </is>
      </c>
      <c r="C26" s="9" t="inlineStr">
        <is>
          <t>强击者</t>
        </is>
      </c>
      <c r="D26" s="8" t="inlineStr">
        <is>
          <t>normal</t>
        </is>
      </c>
      <c r="E26" s="8" t="n">
        <v>72</v>
      </c>
      <c r="F26" s="8" t="n">
        <v>45</v>
      </c>
      <c r="G26" s="8" t="n">
        <v>65</v>
      </c>
      <c r="H26" s="8" t="n">
        <v>10</v>
      </c>
      <c r="I26" s="8" t="n">
        <v>160</v>
      </c>
      <c r="J26" s="8" t="n">
        <v>10</v>
      </c>
      <c r="K26" s="8">
        <f>ROUND(H26/(H26+100),4)</f>
        <v/>
      </c>
      <c r="L26" s="8">
        <f>ROUND(I26*(H26+100)/100,2)</f>
        <v/>
      </c>
      <c r="M26" s="8">
        <f>ROUND(L26*G26,2)</f>
        <v/>
      </c>
    </row>
    <row r="27">
      <c r="A27" t="n">
        <v>3</v>
      </c>
      <c r="B27" s="8" t="inlineStr">
        <is>
          <t>25</t>
        </is>
      </c>
      <c r="C27" s="9" t="inlineStr">
        <is>
          <t>精英刺客</t>
        </is>
      </c>
      <c r="D27" s="8" t="inlineStr">
        <is>
          <t>normal</t>
        </is>
      </c>
      <c r="E27" s="8" t="n">
        <v>80</v>
      </c>
      <c r="F27" s="8" t="n">
        <v>42</v>
      </c>
      <c r="G27" s="8" t="n">
        <v>50</v>
      </c>
      <c r="H27" s="8" t="n">
        <v>15</v>
      </c>
      <c r="I27" s="8" t="n">
        <v>200</v>
      </c>
      <c r="J27" s="8" t="n">
        <v>25</v>
      </c>
      <c r="K27" s="8">
        <f>ROUND(H27/(H27+100),4)</f>
        <v/>
      </c>
      <c r="L27" s="8">
        <f>ROUND(I27*(H27+100)/100,2)</f>
        <v/>
      </c>
      <c r="M27" s="8">
        <f>ROUND(L27*G27,2)</f>
        <v/>
      </c>
    </row>
    <row r="28">
      <c r="A28" t="n">
        <v>3</v>
      </c>
      <c r="B28" s="8" t="inlineStr">
        <is>
          <t>26</t>
        </is>
      </c>
      <c r="C28" s="10" t="inlineStr">
        <is>
          <t>失落幼兽</t>
        </is>
      </c>
      <c r="D28" s="8" t="inlineStr">
        <is>
          <t>elite</t>
        </is>
      </c>
      <c r="E28" s="8" t="n">
        <v>100</v>
      </c>
      <c r="F28" s="8" t="n">
        <v>45</v>
      </c>
      <c r="G28" s="8" t="n">
        <v>35</v>
      </c>
      <c r="H28" s="8" t="n">
        <v>20</v>
      </c>
      <c r="I28" s="8" t="n">
        <v>260</v>
      </c>
      <c r="J28" s="8" t="n">
        <v>20</v>
      </c>
      <c r="K28" s="8">
        <f>ROUND(H28/(H28+100),4)</f>
        <v/>
      </c>
      <c r="L28" s="8">
        <f>ROUND(I28*(H28+100)/100,2)</f>
        <v/>
      </c>
      <c r="M28" s="8">
        <f>ROUND(L28*G28,2)</f>
        <v/>
      </c>
    </row>
    <row r="29">
      <c r="A29" t="n">
        <v>3</v>
      </c>
      <c r="B29" s="8" t="inlineStr">
        <is>
          <t>27</t>
        </is>
      </c>
      <c r="C29" s="10" t="inlineStr">
        <is>
          <t>机关守卫者</t>
        </is>
      </c>
      <c r="D29" s="8" t="inlineStr">
        <is>
          <t>elite</t>
        </is>
      </c>
      <c r="E29" s="8" t="n">
        <v>100</v>
      </c>
      <c r="F29" s="8" t="n">
        <v>45</v>
      </c>
      <c r="G29" s="8" t="n">
        <v>30</v>
      </c>
      <c r="H29" s="8" t="n">
        <v>30</v>
      </c>
      <c r="I29" s="8" t="n">
        <v>280</v>
      </c>
      <c r="J29" s="8" t="n">
        <v>25</v>
      </c>
      <c r="K29" s="8">
        <f>ROUND(H29/(H29+100),4)</f>
        <v/>
      </c>
      <c r="L29" s="8">
        <f>ROUND(I29*(H29+100)/100,2)</f>
        <v/>
      </c>
      <c r="M29" s="8">
        <f>ROUND(L29*G29,2)</f>
        <v/>
      </c>
      <c r="N29" t="inlineStr">
        <is>
          <t>精制铁甲</t>
        </is>
      </c>
      <c r="O29" s="3" t="inlineStr">
        <is>
          <t>石英项链</t>
        </is>
      </c>
    </row>
    <row r="30">
      <c r="A30" t="n">
        <v>3</v>
      </c>
      <c r="B30" s="8" t="inlineStr">
        <is>
          <t>28</t>
        </is>
      </c>
      <c r="C30" s="11" t="inlineStr">
        <is>
          <t>BOSS-失落巨兽</t>
        </is>
      </c>
      <c r="D30" s="8" t="inlineStr">
        <is>
          <t>boss</t>
        </is>
      </c>
      <c r="E30" s="8" t="n">
        <v>320</v>
      </c>
      <c r="F30" s="8" t="n">
        <v>120</v>
      </c>
      <c r="G30" s="8" t="n">
        <v>50</v>
      </c>
      <c r="H30" s="8" t="n">
        <v>30</v>
      </c>
      <c r="I30" s="8" t="n">
        <v>450</v>
      </c>
      <c r="J30" s="8" t="n">
        <v>15</v>
      </c>
      <c r="K30" s="8">
        <f>ROUND(H30/(H30+100),4)</f>
        <v/>
      </c>
      <c r="L30" s="8">
        <f>ROUND(I30*(H30+100)/100,2)</f>
        <v/>
      </c>
      <c r="M30" s="8">
        <f>ROUND(L30*G30,2)</f>
        <v/>
      </c>
      <c r="N30" s="3" t="inlineStr">
        <is>
          <t>巨兽战甲</t>
        </is>
      </c>
      <c r="O30" t="inlineStr">
        <is>
          <t>精致铁甲</t>
        </is>
      </c>
      <c r="P30" t="inlineStr">
        <is>
          <t>钢刃</t>
        </is>
      </c>
    </row>
    <row r="31">
      <c r="A31" t="n">
        <v>3</v>
      </c>
      <c r="B31" s="8" t="inlineStr">
        <is>
          <t>29</t>
        </is>
      </c>
      <c r="C31" s="11" t="inlineStr">
        <is>
          <t>BOSS-失落战神</t>
        </is>
      </c>
      <c r="D31" s="8" t="inlineStr">
        <is>
          <t>boss</t>
        </is>
      </c>
      <c r="E31" s="8" t="n">
        <v>300</v>
      </c>
      <c r="F31" s="8" t="n">
        <v>100</v>
      </c>
      <c r="G31" s="8" t="n">
        <v>40</v>
      </c>
      <c r="H31" s="8" t="n">
        <v>40</v>
      </c>
      <c r="I31" s="8" t="n">
        <v>400</v>
      </c>
      <c r="J31" s="8" t="n">
        <v>25</v>
      </c>
      <c r="K31" s="8">
        <f>ROUND(H31/(H31+100),4)</f>
        <v/>
      </c>
      <c r="L31" s="8">
        <f>ROUND(I31*(H31+100)/100,2)</f>
        <v/>
      </c>
      <c r="M31" s="8">
        <f>ROUND(L31*G31,2)</f>
        <v/>
      </c>
      <c r="N31" s="3" t="inlineStr">
        <is>
          <t>失落之剑</t>
        </is>
      </c>
      <c r="O31" t="inlineStr">
        <is>
          <t>铁盔</t>
        </is>
      </c>
      <c r="P31" t="inlineStr">
        <is>
          <t>清泉坠</t>
        </is>
      </c>
    </row>
    <row r="32">
      <c r="A32" t="n">
        <v>3</v>
      </c>
      <c r="B32" s="8" t="inlineStr">
        <is>
          <t>30</t>
        </is>
      </c>
      <c r="C32" s="11" t="inlineStr">
        <is>
          <t>隐秘-失落财宝之主</t>
        </is>
      </c>
      <c r="D32" s="8" t="inlineStr">
        <is>
          <t>boss</t>
        </is>
      </c>
      <c r="E32" s="8" t="n">
        <v>5000</v>
      </c>
      <c r="F32" s="8" t="n">
        <v>5000</v>
      </c>
      <c r="G32" s="8" t="n">
        <v>70</v>
      </c>
      <c r="H32" s="8" t="n">
        <v>100</v>
      </c>
      <c r="I32" s="8" t="n">
        <v>1000</v>
      </c>
      <c r="J32" s="8" t="n">
        <v>5</v>
      </c>
      <c r="K32" s="8">
        <f>ROUND(H32/(H32+100),4)</f>
        <v/>
      </c>
      <c r="L32" s="8">
        <f>ROUND(I32*(H32+100)/100,2)</f>
        <v/>
      </c>
      <c r="M32" s="8">
        <f>ROUND(L32*G32,2)</f>
        <v/>
      </c>
      <c r="N32" s="3" t="inlineStr">
        <is>
          <t>隐秘-守护重锤</t>
        </is>
      </c>
    </row>
    <row r="33">
      <c r="A33" t="inlineStr">
        <is>
          <t>4寒荒极地</t>
        </is>
      </c>
      <c r="B33" s="8" t="inlineStr">
        <is>
          <t>31</t>
        </is>
      </c>
      <c r="C33" s="9" t="inlineStr">
        <is>
          <t>风雪守卫</t>
        </is>
      </c>
      <c r="D33" s="8" t="inlineStr">
        <is>
          <t>normal</t>
        </is>
      </c>
      <c r="E33" s="8" t="n">
        <v>110</v>
      </c>
      <c r="F33" s="8" t="n">
        <v>70</v>
      </c>
      <c r="G33" s="8" t="n">
        <v>35</v>
      </c>
      <c r="H33" s="8" t="n">
        <v>30</v>
      </c>
      <c r="I33" s="8" t="n">
        <v>350</v>
      </c>
      <c r="J33" s="8" t="n">
        <v>30</v>
      </c>
      <c r="K33" s="8">
        <f>ROUND(H33/(H33+100),4)</f>
        <v/>
      </c>
      <c r="L33" s="8">
        <f>ROUND(I33*(H33+100)/100,2)</f>
        <v/>
      </c>
      <c r="M33" s="8">
        <f>ROUND(L33*G33,2)</f>
        <v/>
      </c>
    </row>
    <row r="34">
      <c r="A34" t="n">
        <v>4</v>
      </c>
      <c r="B34" s="8" t="inlineStr">
        <is>
          <t>32</t>
        </is>
      </c>
      <c r="C34" s="9" t="inlineStr">
        <is>
          <t>冰雪守卫</t>
        </is>
      </c>
      <c r="D34" s="8" t="inlineStr">
        <is>
          <t>normal</t>
        </is>
      </c>
      <c r="E34" s="8" t="n">
        <v>110</v>
      </c>
      <c r="F34" s="8" t="n">
        <v>70</v>
      </c>
      <c r="G34" s="8" t="n">
        <v>30</v>
      </c>
      <c r="H34" s="8" t="n">
        <v>28</v>
      </c>
      <c r="I34" s="8" t="n">
        <v>400</v>
      </c>
      <c r="J34" s="8" t="n">
        <v>30</v>
      </c>
      <c r="K34" s="8">
        <f>ROUND(H34/(H34+100),4)</f>
        <v/>
      </c>
      <c r="L34" s="8">
        <f>ROUND(I34*(H34+100)/100,2)</f>
        <v/>
      </c>
      <c r="M34" s="8">
        <f>ROUND(L34*G34,2)</f>
        <v/>
      </c>
    </row>
    <row r="35">
      <c r="A35" t="n">
        <v>4</v>
      </c>
      <c r="B35" s="8" t="inlineStr">
        <is>
          <t>33</t>
        </is>
      </c>
      <c r="C35" s="9" t="inlineStr">
        <is>
          <t>寒霜巨人</t>
        </is>
      </c>
      <c r="D35" s="8" t="inlineStr">
        <is>
          <t>normal</t>
        </is>
      </c>
      <c r="E35" s="8" t="n">
        <v>115</v>
      </c>
      <c r="F35" s="8" t="n">
        <v>75</v>
      </c>
      <c r="G35" s="8" t="n">
        <v>25</v>
      </c>
      <c r="H35" s="8" t="n">
        <v>40</v>
      </c>
      <c r="I35" s="8" t="n">
        <v>450</v>
      </c>
      <c r="J35" s="8" t="n">
        <v>20</v>
      </c>
      <c r="K35" s="8">
        <f>ROUND(H35/(H35+100),4)</f>
        <v/>
      </c>
      <c r="L35" s="8">
        <f>ROUND(I35*(H35+100)/100,2)</f>
        <v/>
      </c>
      <c r="M35" s="8">
        <f>ROUND(L35*G35,2)</f>
        <v/>
      </c>
    </row>
    <row r="36">
      <c r="A36" t="n">
        <v>4</v>
      </c>
      <c r="B36" s="8" t="inlineStr">
        <is>
          <t>34</t>
        </is>
      </c>
      <c r="C36" s="9" t="inlineStr">
        <is>
          <t>寒冰法师</t>
        </is>
      </c>
      <c r="D36" s="8" t="inlineStr">
        <is>
          <t>normal</t>
        </is>
      </c>
      <c r="E36" s="8" t="n">
        <v>125</v>
      </c>
      <c r="F36" s="8" t="n">
        <v>90</v>
      </c>
      <c r="G36" s="8" t="n">
        <v>70</v>
      </c>
      <c r="H36" s="8" t="n">
        <v>15</v>
      </c>
      <c r="I36" s="8" t="n">
        <v>250</v>
      </c>
      <c r="J36" s="8" t="n">
        <v>15</v>
      </c>
      <c r="K36" s="8">
        <f>ROUND(H36/(H36+100),4)</f>
        <v/>
      </c>
      <c r="L36" s="8">
        <f>ROUND(I36*(H36+100)/100,2)</f>
        <v/>
      </c>
      <c r="M36" s="8">
        <f>ROUND(L36*G36,2)</f>
        <v/>
      </c>
    </row>
    <row r="37">
      <c r="A37" t="n">
        <v>4</v>
      </c>
      <c r="B37" s="8" t="inlineStr">
        <is>
          <t>35</t>
        </is>
      </c>
      <c r="C37" s="9" t="inlineStr">
        <is>
          <t>极地巫祝</t>
        </is>
      </c>
      <c r="D37" s="8" t="inlineStr">
        <is>
          <t>normal</t>
        </is>
      </c>
      <c r="E37" s="8" t="n">
        <v>120</v>
      </c>
      <c r="F37" s="8" t="n">
        <v>85</v>
      </c>
      <c r="G37" s="8" t="n">
        <v>55</v>
      </c>
      <c r="H37" s="8" t="n">
        <v>25</v>
      </c>
      <c r="I37" s="8" t="n">
        <v>280</v>
      </c>
      <c r="J37" s="8" t="n">
        <v>20</v>
      </c>
      <c r="K37" s="8">
        <f>ROUND(H37/(H37+100),4)</f>
        <v/>
      </c>
      <c r="L37" s="8">
        <f>ROUND(I37*(H37+100)/100,2)</f>
        <v/>
      </c>
      <c r="M37" s="8">
        <f>ROUND(L37*G37,2)</f>
        <v/>
      </c>
    </row>
    <row r="38">
      <c r="A38" t="n">
        <v>4</v>
      </c>
      <c r="B38" s="8" t="inlineStr">
        <is>
          <t>36</t>
        </is>
      </c>
      <c r="C38" s="9" t="inlineStr">
        <is>
          <t>噬冰魔兽</t>
        </is>
      </c>
      <c r="D38" s="8" t="inlineStr">
        <is>
          <t>normal</t>
        </is>
      </c>
      <c r="E38" s="8" t="n">
        <v>115</v>
      </c>
      <c r="F38" s="8" t="n">
        <v>85</v>
      </c>
      <c r="G38" s="8" t="n">
        <v>50</v>
      </c>
      <c r="H38" s="8" t="n">
        <v>30</v>
      </c>
      <c r="I38" s="8" t="n">
        <v>300</v>
      </c>
      <c r="J38" s="8" t="n">
        <v>25</v>
      </c>
      <c r="K38" s="8">
        <f>ROUND(H38/(H38+100),4)</f>
        <v/>
      </c>
      <c r="L38" s="8">
        <f>ROUND(I38*(H38+100)/100,2)</f>
        <v/>
      </c>
      <c r="M38" s="8">
        <f>ROUND(L38*G38,2)</f>
        <v/>
      </c>
      <c r="N38" t="inlineStr">
        <is>
          <t>冰封之心</t>
        </is>
      </c>
      <c r="O38" t="inlineStr">
        <is>
          <t>冰雪灵纱</t>
        </is>
      </c>
      <c r="P38" t="inlineStr">
        <is>
          <t>冰灵回响</t>
        </is>
      </c>
    </row>
    <row r="39">
      <c r="A39" t="n">
        <v>4</v>
      </c>
      <c r="B39" s="8" t="inlineStr">
        <is>
          <t>37</t>
        </is>
      </c>
      <c r="C39" s="10" t="inlineStr">
        <is>
          <t>冰刃剑圣</t>
        </is>
      </c>
      <c r="D39" s="8" t="inlineStr">
        <is>
          <t>elite</t>
        </is>
      </c>
      <c r="E39" s="8" t="n">
        <v>175</v>
      </c>
      <c r="F39" s="8" t="n">
        <v>160</v>
      </c>
      <c r="G39" s="8" t="n">
        <v>70</v>
      </c>
      <c r="H39" s="8" t="n">
        <v>30</v>
      </c>
      <c r="I39" s="8" t="n">
        <v>500</v>
      </c>
      <c r="J39" s="8" t="n">
        <v>50</v>
      </c>
      <c r="K39" s="8">
        <f>ROUND(H39/(H39+100),4)</f>
        <v/>
      </c>
      <c r="L39" s="8">
        <f>ROUND(I39*(H39+100)/100,2)</f>
        <v/>
      </c>
      <c r="M39" s="8">
        <f>ROUND(L39*G39,2)</f>
        <v/>
      </c>
      <c r="N39" t="inlineStr">
        <is>
          <t>寒冰头盔</t>
        </is>
      </c>
      <c r="O39" s="3" t="inlineStr">
        <is>
          <t>冰霜行者</t>
        </is>
      </c>
      <c r="P39" t="inlineStr">
        <is>
          <t>冰封之心</t>
        </is>
      </c>
      <c r="Q39" t="inlineStr">
        <is>
          <t>天冰剑</t>
        </is>
      </c>
    </row>
    <row r="40">
      <c r="A40" t="n">
        <v>4</v>
      </c>
      <c r="B40" s="8" t="inlineStr">
        <is>
          <t>38</t>
        </is>
      </c>
      <c r="C40" s="11" t="inlineStr">
        <is>
          <t>BOSS-寒荒精灵</t>
        </is>
      </c>
      <c r="D40" s="8" t="inlineStr">
        <is>
          <t>boss</t>
        </is>
      </c>
      <c r="E40" s="8" t="n">
        <v>300</v>
      </c>
      <c r="F40" s="8" t="n">
        <v>250</v>
      </c>
      <c r="G40" s="8" t="n">
        <v>120</v>
      </c>
      <c r="H40" s="8" t="n">
        <v>30</v>
      </c>
      <c r="I40" s="8" t="n">
        <v>700</v>
      </c>
      <c r="J40" s="8" t="n">
        <v>40</v>
      </c>
      <c r="K40" s="8">
        <f>ROUND(H40/(H40+100),4)</f>
        <v/>
      </c>
      <c r="L40" s="8">
        <f>ROUND(I40*(H40+100)/100,2)</f>
        <v/>
      </c>
      <c r="M40" s="8">
        <f>ROUND(L40*G40,2)</f>
        <v/>
      </c>
      <c r="N40" t="inlineStr">
        <is>
          <t>冰雪灵纱</t>
        </is>
      </c>
      <c r="O40" s="3" t="inlineStr">
        <is>
          <t>精灵祝福</t>
        </is>
      </c>
      <c r="P40" t="inlineStr">
        <is>
          <t>冰灵回响</t>
        </is>
      </c>
    </row>
    <row r="41">
      <c r="A41" t="n">
        <v>4</v>
      </c>
      <c r="B41" s="8" t="inlineStr">
        <is>
          <t>39</t>
        </is>
      </c>
      <c r="C41" s="11" t="inlineStr">
        <is>
          <t>BOSS-极寒暴龙</t>
        </is>
      </c>
      <c r="D41" s="8" t="inlineStr">
        <is>
          <t>boss</t>
        </is>
      </c>
      <c r="E41" s="8" t="n">
        <v>300</v>
      </c>
      <c r="F41" s="8" t="n">
        <v>250</v>
      </c>
      <c r="G41" s="8" t="n">
        <v>80</v>
      </c>
      <c r="H41" s="8" t="n">
        <v>50</v>
      </c>
      <c r="I41" s="8" t="n">
        <v>850</v>
      </c>
      <c r="J41" s="8" t="n">
        <v>30</v>
      </c>
      <c r="K41" s="8">
        <f>ROUND(H41/(H41+100),4)</f>
        <v/>
      </c>
      <c r="L41" s="8">
        <f>ROUND(I41*(H41+100)/100,2)</f>
        <v/>
      </c>
      <c r="M41" s="8">
        <f>ROUND(L41*G41,2)</f>
        <v/>
      </c>
      <c r="N41" t="inlineStr">
        <is>
          <t>暴龙恐爪</t>
        </is>
      </c>
      <c r="O41" s="3" t="inlineStr">
        <is>
          <t>暴龙之牙</t>
        </is>
      </c>
      <c r="P41" s="3" t="inlineStr">
        <is>
          <t>灵冰头盔</t>
        </is>
      </c>
    </row>
    <row r="42">
      <c r="A42" t="n">
        <v>4</v>
      </c>
      <c r="B42" s="8" t="inlineStr">
        <is>
          <t>40</t>
        </is>
      </c>
      <c r="C42" s="11" t="inlineStr">
        <is>
          <t>隐秘-冰帝翼龙</t>
        </is>
      </c>
      <c r="D42" s="8" t="inlineStr">
        <is>
          <t>boss</t>
        </is>
      </c>
      <c r="E42" s="8" t="n">
        <v>7500</v>
      </c>
      <c r="F42" s="8" t="n">
        <v>7500</v>
      </c>
      <c r="G42" s="8" t="n">
        <v>200</v>
      </c>
      <c r="H42" s="8" t="n">
        <v>100</v>
      </c>
      <c r="I42" s="8" t="n">
        <v>1500</v>
      </c>
      <c r="J42" s="8" t="n">
        <v>80</v>
      </c>
      <c r="K42" s="8">
        <f>ROUND(H42/(H42+100),4)</f>
        <v/>
      </c>
      <c r="L42" s="8">
        <f>ROUND(I42*(H42+100)/100,2)</f>
        <v/>
      </c>
      <c r="M42" s="8">
        <f>ROUND(L42*G42,2)</f>
        <v/>
      </c>
      <c r="N42" s="3" t="inlineStr">
        <is>
          <t>隐秘-明目之冕</t>
        </is>
      </c>
    </row>
    <row r="43">
      <c r="A43" t="inlineStr">
        <is>
          <t>5巨石之地</t>
        </is>
      </c>
      <c r="B43" s="8" t="inlineStr">
        <is>
          <t>41</t>
        </is>
      </c>
      <c r="C43" s="9" t="inlineStr">
        <is>
          <t>符石剑士</t>
        </is>
      </c>
      <c r="D43" s="8" t="inlineStr">
        <is>
          <t>normal</t>
        </is>
      </c>
      <c r="E43" s="8" t="n">
        <v>105</v>
      </c>
      <c r="F43" s="8" t="n">
        <v>125</v>
      </c>
      <c r="G43" s="8" t="n">
        <v>60</v>
      </c>
      <c r="H43" s="8" t="n">
        <v>50</v>
      </c>
      <c r="I43" s="8" t="n">
        <v>450</v>
      </c>
      <c r="J43" s="8" t="n">
        <v>18</v>
      </c>
      <c r="K43" s="8">
        <f>ROUND(H43/(H43+100),4)</f>
        <v/>
      </c>
      <c r="L43" s="8">
        <f>ROUND(I43*(H43+100)/100,2)</f>
        <v/>
      </c>
      <c r="M43" s="8">
        <f>ROUND(L43*G43,2)</f>
        <v/>
      </c>
    </row>
    <row r="44">
      <c r="A44" t="n">
        <v>5</v>
      </c>
      <c r="B44" s="8" t="inlineStr">
        <is>
          <t>42</t>
        </is>
      </c>
      <c r="C44" s="9" t="inlineStr">
        <is>
          <t>巨石斗士</t>
        </is>
      </c>
      <c r="D44" s="8" t="inlineStr">
        <is>
          <t>normal</t>
        </is>
      </c>
      <c r="E44" s="8" t="n">
        <v>130</v>
      </c>
      <c r="F44" s="8" t="n">
        <v>115</v>
      </c>
      <c r="G44" s="8" t="n">
        <v>40</v>
      </c>
      <c r="H44" s="8" t="n">
        <v>65</v>
      </c>
      <c r="I44" s="8" t="n">
        <v>550</v>
      </c>
      <c r="J44" s="8" t="n">
        <v>10</v>
      </c>
      <c r="K44" s="8">
        <f>ROUND(H44/(H44+100),4)</f>
        <v/>
      </c>
      <c r="L44" s="8">
        <f>ROUND(I44*(H44+100)/100,2)</f>
        <v/>
      </c>
      <c r="M44" s="8">
        <f>ROUND(L44*G44,2)</f>
        <v/>
      </c>
    </row>
    <row r="45">
      <c r="A45" t="n">
        <v>5</v>
      </c>
      <c r="B45" s="8" t="inlineStr">
        <is>
          <t>43</t>
        </is>
      </c>
      <c r="C45" s="9" t="inlineStr">
        <is>
          <t>噬岩巨蝎</t>
        </is>
      </c>
      <c r="D45" s="8" t="inlineStr">
        <is>
          <t>normal</t>
        </is>
      </c>
      <c r="E45" s="8" t="n">
        <v>120</v>
      </c>
      <c r="F45" s="8" t="n">
        <v>170</v>
      </c>
      <c r="G45" s="8" t="n">
        <v>80</v>
      </c>
      <c r="H45" s="8" t="n">
        <v>40</v>
      </c>
      <c r="I45" s="8" t="n">
        <v>400</v>
      </c>
      <c r="J45" s="8" t="n">
        <v>35</v>
      </c>
      <c r="K45" s="8">
        <f>ROUND(H45/(H45+100),4)</f>
        <v/>
      </c>
      <c r="L45" s="8">
        <f>ROUND(I45*(H45+100)/100,2)</f>
        <v/>
      </c>
      <c r="M45" s="8">
        <f>ROUND(L45*G45,2)</f>
        <v/>
      </c>
    </row>
    <row r="46">
      <c r="A46" t="n">
        <v>5</v>
      </c>
      <c r="B46" s="8" t="inlineStr">
        <is>
          <t>44</t>
        </is>
      </c>
      <c r="C46" s="9" t="inlineStr">
        <is>
          <t>锐石灵士</t>
        </is>
      </c>
      <c r="D46" s="8" t="inlineStr">
        <is>
          <t>normal</t>
        </is>
      </c>
      <c r="E46" s="8" t="n">
        <v>125</v>
      </c>
      <c r="F46" s="8" t="n">
        <v>140</v>
      </c>
      <c r="G46" s="8" t="n">
        <v>70</v>
      </c>
      <c r="H46" s="8" t="n">
        <v>45</v>
      </c>
      <c r="I46" s="8" t="n">
        <v>470</v>
      </c>
      <c r="J46" s="8" t="n">
        <v>15</v>
      </c>
      <c r="K46" s="8">
        <f>ROUND(H46/(H46+100),4)</f>
        <v/>
      </c>
      <c r="L46" s="8">
        <f>ROUND(I46*(H46+100)/100,2)</f>
        <v/>
      </c>
      <c r="M46" s="8">
        <f>ROUND(L46*G46,2)</f>
        <v/>
      </c>
    </row>
    <row r="47">
      <c r="A47" t="n">
        <v>5</v>
      </c>
      <c r="B47" s="8" t="inlineStr">
        <is>
          <t>45</t>
        </is>
      </c>
      <c r="C47" s="9" t="inlineStr">
        <is>
          <t>巨锤守护者</t>
        </is>
      </c>
      <c r="D47" s="8" t="inlineStr">
        <is>
          <t>normal</t>
        </is>
      </c>
      <c r="E47" s="8" t="n">
        <v>140</v>
      </c>
      <c r="F47" s="8" t="n">
        <v>140</v>
      </c>
      <c r="G47" s="8" t="n">
        <v>200</v>
      </c>
      <c r="H47" s="8" t="n">
        <v>40</v>
      </c>
      <c r="I47" s="8" t="n">
        <v>520</v>
      </c>
      <c r="J47" s="8" t="n">
        <v>20</v>
      </c>
      <c r="K47" s="8">
        <f>ROUND(H47/(H47+100),4)</f>
        <v/>
      </c>
      <c r="L47" s="8">
        <f>ROUND(I47*(H47+100)/100,2)</f>
        <v/>
      </c>
      <c r="M47" s="8">
        <f>ROUND(L47*G47,2)</f>
        <v/>
      </c>
    </row>
    <row r="48">
      <c r="A48" t="n">
        <v>5</v>
      </c>
      <c r="B48" s="8" t="inlineStr">
        <is>
          <t>46</t>
        </is>
      </c>
      <c r="C48" s="9" t="inlineStr">
        <is>
          <t>斩石者</t>
        </is>
      </c>
      <c r="D48" s="8" t="inlineStr">
        <is>
          <t>normal</t>
        </is>
      </c>
      <c r="E48" s="8" t="n">
        <v>135</v>
      </c>
      <c r="F48" s="8" t="n">
        <v>135</v>
      </c>
      <c r="G48" s="8" t="n">
        <v>120</v>
      </c>
      <c r="H48" s="8" t="n">
        <v>35</v>
      </c>
      <c r="I48" s="8" t="n">
        <v>380</v>
      </c>
      <c r="J48" s="8" t="n">
        <v>35</v>
      </c>
      <c r="K48" s="8">
        <f>ROUND(H48/(H48+100),4)</f>
        <v/>
      </c>
      <c r="L48" s="8">
        <f>ROUND(I48*(H48+100)/100,2)</f>
        <v/>
      </c>
      <c r="M48" s="8">
        <f>ROUND(L48*G48,2)</f>
        <v/>
      </c>
    </row>
    <row r="49">
      <c r="A49" t="n">
        <v>5</v>
      </c>
      <c r="B49" s="8" t="inlineStr">
        <is>
          <t>47</t>
        </is>
      </c>
      <c r="C49" s="9" t="inlineStr">
        <is>
          <t>巨岩蟒</t>
        </is>
      </c>
      <c r="D49" s="8" t="inlineStr">
        <is>
          <t>normal</t>
        </is>
      </c>
      <c r="E49" s="8" t="n">
        <v>125</v>
      </c>
      <c r="F49" s="8" t="n">
        <v>145</v>
      </c>
      <c r="G49" s="8" t="n">
        <v>85</v>
      </c>
      <c r="H49" s="8" t="n">
        <v>50</v>
      </c>
      <c r="I49" s="8" t="n">
        <v>500</v>
      </c>
      <c r="J49" s="8" t="n">
        <v>30</v>
      </c>
      <c r="K49" s="8">
        <f>ROUND(H49/(H49+100),4)</f>
        <v/>
      </c>
      <c r="L49" s="8">
        <f>ROUND(I49*(H49+100)/100,2)</f>
        <v/>
      </c>
      <c r="M49" s="8">
        <f>ROUND(L49*G49,2)</f>
        <v/>
      </c>
    </row>
    <row r="50">
      <c r="A50" t="n">
        <v>5</v>
      </c>
      <c r="B50" s="8" t="inlineStr">
        <is>
          <t>48</t>
        </is>
      </c>
      <c r="C50" s="10" t="inlineStr">
        <is>
          <t>异地冒险者</t>
        </is>
      </c>
      <c r="D50" s="8" t="inlineStr">
        <is>
          <t>elite</t>
        </is>
      </c>
      <c r="E50" s="8" t="n">
        <v>220</v>
      </c>
      <c r="F50" s="8" t="n">
        <v>280</v>
      </c>
      <c r="G50" s="8" t="n">
        <v>120</v>
      </c>
      <c r="H50" s="8" t="n">
        <v>55</v>
      </c>
      <c r="I50" s="8" t="n">
        <v>650</v>
      </c>
      <c r="J50" s="8" t="n">
        <v>40</v>
      </c>
      <c r="K50" s="8">
        <f>ROUND(H50/(H50+100),4)</f>
        <v/>
      </c>
      <c r="L50" s="8">
        <f>ROUND(I50*(H50+100)/100,2)</f>
        <v/>
      </c>
      <c r="M50" s="8">
        <f>ROUND(L50*G50,2)</f>
        <v/>
      </c>
      <c r="N50" t="inlineStr">
        <is>
          <t>探险家斗篷</t>
        </is>
      </c>
      <c r="O50" t="inlineStr">
        <is>
          <t>玄铁轻刀</t>
        </is>
      </c>
      <c r="P50" t="inlineStr">
        <is>
          <t>攀岩者之靴</t>
        </is>
      </c>
    </row>
    <row r="51">
      <c r="A51" t="n">
        <v>5</v>
      </c>
      <c r="B51" s="8" t="inlineStr">
        <is>
          <t>49</t>
        </is>
      </c>
      <c r="C51" s="11" t="inlineStr">
        <is>
          <t>BOSS-岩石灵神</t>
        </is>
      </c>
      <c r="D51" s="8" t="inlineStr">
        <is>
          <t>boss</t>
        </is>
      </c>
      <c r="E51" s="8" t="n">
        <v>300</v>
      </c>
      <c r="F51" s="8" t="n">
        <v>450</v>
      </c>
      <c r="G51" s="8" t="n">
        <v>110</v>
      </c>
      <c r="H51" s="8" t="n">
        <v>125</v>
      </c>
      <c r="I51" s="8" t="n">
        <v>1200</v>
      </c>
      <c r="J51" s="8" t="n">
        <v>30</v>
      </c>
      <c r="K51" s="8">
        <f>ROUND(H51/(H51+100),4)</f>
        <v/>
      </c>
      <c r="L51" s="8">
        <f>ROUND(I51*(H51+100)/100,2)</f>
        <v/>
      </c>
      <c r="M51" s="8">
        <f>ROUND(L51*G51,2)</f>
        <v/>
      </c>
      <c r="N51" t="inlineStr">
        <is>
          <t>黑曜石盾刃</t>
        </is>
      </c>
      <c r="O51" s="5" t="inlineStr">
        <is>
          <t>上古岩铠</t>
        </is>
      </c>
      <c r="P51" s="5" t="inlineStr">
        <is>
          <t>碎岩战靴</t>
        </is>
      </c>
      <c r="Q51" t="inlineStr">
        <is>
          <t>山岳之瞳</t>
        </is>
      </c>
      <c r="R51" t="inlineStr">
        <is>
          <t>裂岩战斧</t>
        </is>
      </c>
      <c r="S51" s="3" t="inlineStr">
        <is>
          <t>岩核契约之环</t>
        </is>
      </c>
    </row>
    <row r="52">
      <c r="A52" t="n">
        <v>5</v>
      </c>
      <c r="B52" s="8" t="inlineStr">
        <is>
          <t>50</t>
        </is>
      </c>
      <c r="C52" s="11" t="inlineStr">
        <is>
          <t>BOSS-熔岩灵蛟</t>
        </is>
      </c>
      <c r="D52" s="8" t="inlineStr">
        <is>
          <t>boss</t>
        </is>
      </c>
      <c r="E52" s="8" t="n">
        <v>400</v>
      </c>
      <c r="F52" s="8" t="n">
        <v>480</v>
      </c>
      <c r="G52" s="8" t="n">
        <v>170</v>
      </c>
      <c r="H52" s="8" t="n">
        <v>80</v>
      </c>
      <c r="I52" s="8" t="n">
        <v>900</v>
      </c>
      <c r="J52" s="8" t="n">
        <v>50</v>
      </c>
      <c r="K52" s="8">
        <f>ROUND(H52/(H52+100),4)</f>
        <v/>
      </c>
      <c r="L52" s="8">
        <f>ROUND(I52*(H52+100)/100,2)</f>
        <v/>
      </c>
      <c r="M52" s="8">
        <f>ROUND(L52*G52,2)</f>
        <v/>
      </c>
      <c r="N52" s="3" t="inlineStr">
        <is>
          <t>灼火地煞</t>
        </is>
      </c>
      <c r="O52" s="3" t="inlineStr">
        <is>
          <t>炎阳明珠</t>
        </is>
      </c>
      <c r="P52" t="inlineStr">
        <is>
          <t>蛟瞳炎冠</t>
        </is>
      </c>
      <c r="Q52" s="3" t="inlineStr">
        <is>
          <t>赤鳞蜕甲</t>
        </is>
      </c>
      <c r="R52" s="3" t="inlineStr">
        <is>
          <t>熔迹蛟靴</t>
        </is>
      </c>
    </row>
    <row r="53">
      <c r="A53" t="n">
        <v>5</v>
      </c>
      <c r="B53" s="8" t="inlineStr">
        <is>
          <t>51</t>
        </is>
      </c>
      <c r="C53" s="11" t="inlineStr">
        <is>
          <t>隐秘-镇域柱灵</t>
        </is>
      </c>
      <c r="D53" s="8" t="inlineStr">
        <is>
          <t>boss</t>
        </is>
      </c>
      <c r="E53" s="8" t="n">
        <v>10000</v>
      </c>
      <c r="F53" s="8" t="n">
        <v>10000</v>
      </c>
      <c r="G53" s="8" t="n">
        <v>400</v>
      </c>
      <c r="H53" s="8" t="n">
        <v>200</v>
      </c>
      <c r="I53" s="8" t="n">
        <v>1800</v>
      </c>
      <c r="J53" s="8" t="n">
        <v>0</v>
      </c>
      <c r="K53" s="8">
        <f>ROUND(H53/(H53+100),4)</f>
        <v/>
      </c>
      <c r="L53" s="8">
        <f>ROUND(I53*(H53+100)/100,2)</f>
        <v/>
      </c>
      <c r="M53" s="8">
        <f>ROUND(L53*G53,2)</f>
        <v/>
      </c>
      <c r="N53" t="inlineStr">
        <is>
          <t>隐秘-亘古守卫之靴</t>
        </is>
      </c>
    </row>
    <row r="54">
      <c r="A54" t="n">
        <v>5</v>
      </c>
      <c r="B54" s="8" t="inlineStr">
        <is>
          <t>52</t>
        </is>
      </c>
      <c r="C54" s="10" t="inlineStr">
        <is>
          <t>狂锤破坏者</t>
        </is>
      </c>
      <c r="D54" s="8" t="inlineStr">
        <is>
          <t>elite</t>
        </is>
      </c>
      <c r="E54" s="8" t="n">
        <v>250</v>
      </c>
      <c r="F54" s="8" t="n">
        <v>260</v>
      </c>
      <c r="G54" s="8" t="n">
        <v>300</v>
      </c>
      <c r="H54" s="8" t="n">
        <v>30</v>
      </c>
      <c r="I54" s="8" t="n">
        <v>400</v>
      </c>
      <c r="J54" s="8" t="n">
        <v>30</v>
      </c>
      <c r="K54" s="8">
        <f>ROUND(H54/(H54+100),4)</f>
        <v/>
      </c>
      <c r="L54" s="8">
        <f>ROUND(I54*(H54+100)/100,2)</f>
        <v/>
      </c>
      <c r="M54" s="8">
        <f>ROUND(L54*G54,2)</f>
        <v/>
      </c>
      <c r="N54" t="inlineStr">
        <is>
          <t>狂暴战锤</t>
        </is>
      </c>
      <c r="O54" s="3" t="inlineStr">
        <is>
          <t>黑曜石头盔</t>
        </is>
      </c>
    </row>
    <row r="55">
      <c r="A55" t="inlineStr">
        <is>
          <t>6死灵国度</t>
        </is>
      </c>
      <c r="B55" s="8" t="inlineStr">
        <is>
          <t>53</t>
        </is>
      </c>
      <c r="C55" s="9" t="inlineStr">
        <is>
          <t>狂暴腐尸</t>
        </is>
      </c>
      <c r="D55" s="8" t="inlineStr">
        <is>
          <t>normal</t>
        </is>
      </c>
      <c r="E55" s="8" t="n">
        <v>160</v>
      </c>
      <c r="F55" s="8" t="n">
        <v>180</v>
      </c>
      <c r="G55" s="8" t="n">
        <v>130</v>
      </c>
      <c r="H55" s="8" t="n">
        <v>85</v>
      </c>
      <c r="I55" s="8" t="n">
        <v>700</v>
      </c>
      <c r="J55" s="8" t="n">
        <v>50</v>
      </c>
      <c r="K55" s="8">
        <f>ROUND(H55/(H55+100),4)</f>
        <v/>
      </c>
      <c r="L55" s="8">
        <f>ROUND(I55*(H55+100)/100,2)</f>
        <v/>
      </c>
      <c r="M55" s="8">
        <f>ROUND(L55*G55,2)</f>
        <v/>
      </c>
    </row>
    <row r="56">
      <c r="A56" t="n">
        <v>6</v>
      </c>
      <c r="B56" s="8" t="inlineStr">
        <is>
          <t>54</t>
        </is>
      </c>
      <c r="C56" s="9" t="inlineStr">
        <is>
          <t>恶魔蝙蝠</t>
        </is>
      </c>
      <c r="D56" s="8" t="inlineStr">
        <is>
          <t>normal</t>
        </is>
      </c>
      <c r="E56" s="8" t="n">
        <v>160</v>
      </c>
      <c r="F56" s="8" t="n">
        <v>180</v>
      </c>
      <c r="G56" s="8" t="n">
        <v>140</v>
      </c>
      <c r="H56" s="8" t="n">
        <v>45</v>
      </c>
      <c r="I56" s="8" t="n">
        <v>600</v>
      </c>
      <c r="J56" s="8" t="n">
        <v>70</v>
      </c>
      <c r="K56" s="8">
        <f>ROUND(H56/(H56+100),4)</f>
        <v/>
      </c>
      <c r="L56" s="8">
        <f>ROUND(I56*(H56+100)/100,2)</f>
        <v/>
      </c>
      <c r="M56" s="8">
        <f>ROUND(L56*G56,2)</f>
        <v/>
      </c>
    </row>
    <row r="57">
      <c r="A57" t="n">
        <v>6</v>
      </c>
      <c r="B57" s="8" t="inlineStr">
        <is>
          <t>55</t>
        </is>
      </c>
      <c r="C57" s="9" t="inlineStr">
        <is>
          <t>死灵武士</t>
        </is>
      </c>
      <c r="D57" s="8" t="inlineStr">
        <is>
          <t>normal</t>
        </is>
      </c>
      <c r="E57" s="8" t="n">
        <v>145</v>
      </c>
      <c r="F57" s="8" t="n">
        <v>170</v>
      </c>
      <c r="G57" s="8" t="n">
        <v>100</v>
      </c>
      <c r="H57" s="8" t="n">
        <v>70</v>
      </c>
      <c r="I57" s="8" t="n">
        <v>780</v>
      </c>
      <c r="J57" s="8" t="n">
        <v>50</v>
      </c>
      <c r="K57" s="8">
        <f>ROUND(H57/(H57+100),4)</f>
        <v/>
      </c>
      <c r="L57" s="8">
        <f>ROUND(I57*(H57+100)/100,2)</f>
        <v/>
      </c>
      <c r="M57" s="8">
        <f>ROUND(L57*G57,2)</f>
        <v/>
      </c>
      <c r="N57" s="5" t="inlineStr">
        <is>
          <t>武士之靴</t>
        </is>
      </c>
    </row>
    <row r="58">
      <c r="A58" t="n">
        <v>6</v>
      </c>
      <c r="B58" s="8" t="inlineStr">
        <is>
          <t>56</t>
        </is>
      </c>
      <c r="C58" s="9" t="inlineStr">
        <is>
          <t>鬼国侍卫</t>
        </is>
      </c>
      <c r="D58" s="8" t="inlineStr">
        <is>
          <t>normal</t>
        </is>
      </c>
      <c r="E58" s="8" t="n">
        <v>155</v>
      </c>
      <c r="F58" s="8" t="n">
        <v>170</v>
      </c>
      <c r="G58" s="8" t="n">
        <v>85</v>
      </c>
      <c r="H58" s="8" t="n">
        <v>70</v>
      </c>
      <c r="I58" s="8" t="n">
        <v>760</v>
      </c>
      <c r="J58" s="8" t="n">
        <v>40</v>
      </c>
      <c r="K58" s="8">
        <f>ROUND(H58/(H58+100),4)</f>
        <v/>
      </c>
      <c r="L58" s="8">
        <f>ROUND(I58*(H58+100)/100,2)</f>
        <v/>
      </c>
      <c r="M58" s="8">
        <f>ROUND(L58*G58,2)</f>
        <v/>
      </c>
    </row>
    <row r="59">
      <c r="A59" t="n">
        <v>6</v>
      </c>
      <c r="B59" s="8" t="inlineStr">
        <is>
          <t>57</t>
        </is>
      </c>
      <c r="C59" s="9" t="inlineStr">
        <is>
          <t>噬灵之獒</t>
        </is>
      </c>
      <c r="D59" s="8" t="inlineStr">
        <is>
          <t>normal</t>
        </is>
      </c>
      <c r="E59" s="8" t="n">
        <v>175</v>
      </c>
      <c r="F59" s="8" t="n">
        <v>180</v>
      </c>
      <c r="G59" s="8" t="n">
        <v>130</v>
      </c>
      <c r="H59" s="8" t="n">
        <v>70</v>
      </c>
      <c r="I59" s="8" t="n">
        <v>660</v>
      </c>
      <c r="J59" s="8" t="n">
        <v>75</v>
      </c>
      <c r="K59" s="8">
        <f>ROUND(H59/(H59+100),4)</f>
        <v/>
      </c>
      <c r="L59" s="8">
        <f>ROUND(I59*(H59+100)/100,2)</f>
        <v/>
      </c>
      <c r="M59" s="8">
        <f>ROUND(L59*G59,2)</f>
        <v/>
      </c>
    </row>
    <row r="60">
      <c r="A60" t="n">
        <v>6</v>
      </c>
      <c r="B60" s="8" t="inlineStr">
        <is>
          <t>58</t>
        </is>
      </c>
      <c r="C60" s="9" t="inlineStr">
        <is>
          <t>死火术士</t>
        </is>
      </c>
      <c r="D60" s="8" t="inlineStr">
        <is>
          <t>normal</t>
        </is>
      </c>
      <c r="E60" s="8" t="n">
        <v>160</v>
      </c>
      <c r="F60" s="8" t="n">
        <v>180</v>
      </c>
      <c r="G60" s="8" t="n">
        <v>135</v>
      </c>
      <c r="H60" s="8" t="n">
        <v>50</v>
      </c>
      <c r="I60" s="8" t="n">
        <v>630</v>
      </c>
      <c r="J60" s="8" t="n">
        <v>20</v>
      </c>
      <c r="K60" s="8">
        <f>ROUND(H60/(H60+100),4)</f>
        <v/>
      </c>
      <c r="L60" s="8">
        <f>ROUND(I60*(H60+100)/100,2)</f>
        <v/>
      </c>
      <c r="M60" s="8">
        <f>ROUND(L60*G60,2)</f>
        <v/>
      </c>
    </row>
    <row r="61">
      <c r="A61" t="n">
        <v>6</v>
      </c>
      <c r="B61" s="8" t="inlineStr">
        <is>
          <t>59</t>
        </is>
      </c>
      <c r="C61" s="9" t="inlineStr">
        <is>
          <t>孤野魔魂</t>
        </is>
      </c>
      <c r="D61" s="8" t="inlineStr">
        <is>
          <t>normal</t>
        </is>
      </c>
      <c r="E61" s="8" t="n">
        <v>140</v>
      </c>
      <c r="F61" s="8" t="n">
        <v>170</v>
      </c>
      <c r="G61" s="8" t="n">
        <v>230</v>
      </c>
      <c r="H61" s="8" t="n">
        <v>30</v>
      </c>
      <c r="I61" s="8" t="n">
        <v>400</v>
      </c>
      <c r="J61" s="8" t="n">
        <v>60</v>
      </c>
      <c r="K61" s="8">
        <f>ROUND(H61/(H61+100),4)</f>
        <v/>
      </c>
      <c r="L61" s="8">
        <f>ROUND(I61*(H61+100)/100,2)</f>
        <v/>
      </c>
      <c r="M61" s="8">
        <f>ROUND(L61*G61,2)</f>
        <v/>
      </c>
    </row>
    <row r="62">
      <c r="A62" t="n">
        <v>6</v>
      </c>
      <c r="B62" s="8" t="inlineStr">
        <is>
          <t>60</t>
        </is>
      </c>
      <c r="C62" s="10" t="inlineStr">
        <is>
          <t>死灵魔将</t>
        </is>
      </c>
      <c r="D62" s="8" t="inlineStr">
        <is>
          <t>elite</t>
        </is>
      </c>
      <c r="E62" s="8" t="n">
        <v>260</v>
      </c>
      <c r="F62" s="8" t="n">
        <v>400</v>
      </c>
      <c r="G62" s="8" t="n">
        <v>200</v>
      </c>
      <c r="H62" s="8" t="n">
        <v>80</v>
      </c>
      <c r="I62" s="8" t="n">
        <v>1200</v>
      </c>
      <c r="J62" s="8" t="n">
        <v>40</v>
      </c>
      <c r="K62" s="8">
        <f>ROUND(H62/(H62+100),4)</f>
        <v/>
      </c>
      <c r="L62" s="8">
        <f>ROUND(I62*(H62+100)/100,2)</f>
        <v/>
      </c>
      <c r="M62" s="8">
        <f>ROUND(L62*G62,2)</f>
        <v/>
      </c>
      <c r="N62" t="inlineStr">
        <is>
          <t>魔将战斧</t>
        </is>
      </c>
    </row>
    <row r="63">
      <c r="A63" t="n">
        <v>6</v>
      </c>
      <c r="B63" s="8" t="inlineStr">
        <is>
          <t>61</t>
        </is>
      </c>
      <c r="C63" s="10" t="inlineStr">
        <is>
          <t>极度恐惧</t>
        </is>
      </c>
      <c r="D63" s="8" t="inlineStr">
        <is>
          <t>elite</t>
        </is>
      </c>
      <c r="E63" s="8" t="n">
        <v>100</v>
      </c>
      <c r="F63" s="8" t="n">
        <v>300</v>
      </c>
      <c r="G63" s="8" t="n">
        <v>500</v>
      </c>
      <c r="H63" s="8" t="n">
        <v>0</v>
      </c>
      <c r="I63" s="8" t="n">
        <v>300</v>
      </c>
      <c r="J63" s="8" t="n">
        <v>130</v>
      </c>
      <c r="K63" s="8">
        <f>ROUND(H63/(H63+100),4)</f>
        <v/>
      </c>
      <c r="L63" s="8">
        <f>ROUND(I63*(H63+100)/100,2)</f>
        <v/>
      </c>
      <c r="M63" s="8">
        <f>ROUND(L63*G63,2)</f>
        <v/>
      </c>
      <c r="N63" t="inlineStr">
        <is>
          <t>孤魂之心</t>
        </is>
      </c>
    </row>
    <row r="64">
      <c r="A64" t="n">
        <v>6</v>
      </c>
      <c r="B64" s="8" t="inlineStr">
        <is>
          <t>62</t>
        </is>
      </c>
      <c r="C64" s="11" t="inlineStr">
        <is>
          <t>BOSS-极夜统领者</t>
        </is>
      </c>
      <c r="D64" s="8" t="inlineStr">
        <is>
          <t>boss</t>
        </is>
      </c>
      <c r="E64" s="8" t="n">
        <v>500</v>
      </c>
      <c r="F64" s="8" t="n">
        <v>800</v>
      </c>
      <c r="G64" s="8" t="n">
        <v>260</v>
      </c>
      <c r="H64" s="8" t="n">
        <v>170</v>
      </c>
      <c r="I64" s="8" t="n">
        <v>1500</v>
      </c>
      <c r="J64" s="8" t="n">
        <v>80</v>
      </c>
      <c r="K64" s="8">
        <f>ROUND(H64/(H64+100),4)</f>
        <v/>
      </c>
      <c r="L64" s="8">
        <f>ROUND(I64*(H64+100)/100,2)</f>
        <v/>
      </c>
      <c r="M64" s="8">
        <f>ROUND(L64*G64,2)</f>
        <v/>
      </c>
      <c r="N64" t="inlineStr">
        <is>
          <t>统领者战袍</t>
        </is>
      </c>
      <c r="O64" t="inlineStr">
        <is>
          <t>统领者战靴</t>
        </is>
      </c>
      <c r="P64" s="3" t="inlineStr">
        <is>
          <t>永夜封灵冠</t>
        </is>
      </c>
      <c r="Q64" s="5" t="inlineStr">
        <is>
          <t>暗影棱镜</t>
        </is>
      </c>
    </row>
    <row r="65">
      <c r="A65" t="n">
        <v>6</v>
      </c>
      <c r="B65" s="8" t="inlineStr">
        <is>
          <t>63</t>
        </is>
      </c>
      <c r="C65" s="11" t="inlineStr">
        <is>
          <t>BOSS-死灵统帅</t>
        </is>
      </c>
      <c r="D65" s="8" t="inlineStr">
        <is>
          <t>boss</t>
        </is>
      </c>
      <c r="E65" s="8" t="n">
        <v>600</v>
      </c>
      <c r="F65" s="8" t="n">
        <v>850</v>
      </c>
      <c r="G65" s="8" t="n">
        <v>230</v>
      </c>
      <c r="H65" s="8" t="n">
        <v>200</v>
      </c>
      <c r="I65" s="8" t="n">
        <v>1800</v>
      </c>
      <c r="J65" s="8" t="n">
        <v>90</v>
      </c>
      <c r="K65" s="8">
        <f>ROUND(H65/(H65+100),4)</f>
        <v/>
      </c>
      <c r="L65" s="8">
        <f>ROUND(I65*(H65+100)/100,2)</f>
        <v/>
      </c>
      <c r="M65" s="8">
        <f>ROUND(L65*G65,2)</f>
        <v/>
      </c>
      <c r="N65" t="inlineStr">
        <is>
          <t>魔王巨刃</t>
        </is>
      </c>
      <c r="O65" s="3" t="inlineStr">
        <is>
          <t>统帅之盔</t>
        </is>
      </c>
      <c r="P65" s="5" t="inlineStr">
        <is>
          <t>亡者均势之铠</t>
        </is>
      </c>
    </row>
    <row r="66">
      <c r="A66" t="n">
        <v>6</v>
      </c>
      <c r="B66" s="8" t="inlineStr">
        <is>
          <t>64</t>
        </is>
      </c>
      <c r="C66" s="11" t="inlineStr">
        <is>
          <t>BOSS-恐惧之主</t>
        </is>
      </c>
      <c r="D66" s="8" t="inlineStr">
        <is>
          <t>boss</t>
        </is>
      </c>
      <c r="E66" s="8" t="n">
        <v>600</v>
      </c>
      <c r="F66" s="8" t="n">
        <v>1000</v>
      </c>
      <c r="G66" s="8" t="n">
        <v>400</v>
      </c>
      <c r="H66" s="8" t="n">
        <v>0</v>
      </c>
      <c r="I66" s="8" t="n">
        <v>2000</v>
      </c>
      <c r="J66" s="8" t="n">
        <v>200</v>
      </c>
      <c r="K66" s="8">
        <f>ROUND(H66/(H66+100),4)</f>
        <v/>
      </c>
      <c r="L66" s="8">
        <f>ROUND(I66*(H66+100)/100,2)</f>
        <v/>
      </c>
      <c r="M66" s="8">
        <f>ROUND(L66*G66,2)</f>
        <v/>
      </c>
      <c r="N66" t="inlineStr">
        <is>
          <t>亡者战魂</t>
        </is>
      </c>
      <c r="O66" s="3" t="inlineStr">
        <is>
          <t>恐惧游行</t>
        </is>
      </c>
      <c r="P66" s="3" t="inlineStr">
        <is>
          <t>恶魔之冕</t>
        </is>
      </c>
    </row>
    <row r="67">
      <c r="A67" t="n">
        <v>6</v>
      </c>
      <c r="B67" s="8" t="inlineStr">
        <is>
          <t>65</t>
        </is>
      </c>
      <c r="C67" s="11" t="inlineStr">
        <is>
          <t>隐秘-魔帝残念</t>
        </is>
      </c>
      <c r="D67" s="8" t="inlineStr">
        <is>
          <t>boss</t>
        </is>
      </c>
      <c r="E67" s="8" t="n">
        <v>12500</v>
      </c>
      <c r="F67" s="8" t="n">
        <v>12500</v>
      </c>
      <c r="G67" s="8" t="n">
        <v>350</v>
      </c>
      <c r="H67" s="8" t="n">
        <v>260</v>
      </c>
      <c r="I67" s="8" t="n">
        <v>3000</v>
      </c>
      <c r="J67" s="8" t="n">
        <v>150</v>
      </c>
      <c r="K67" s="8">
        <f>ROUND(H67/(H67+100),4)</f>
        <v/>
      </c>
      <c r="L67" s="8">
        <f>ROUND(I67*(H67+100)/100,2)</f>
        <v/>
      </c>
      <c r="M67" s="8">
        <f>ROUND(L67*G67,2)</f>
        <v/>
      </c>
      <c r="N67" t="inlineStr">
        <is>
          <t>隐秘-终界谕令残篇</t>
        </is>
      </c>
    </row>
    <row r="68">
      <c r="A68" t="n">
        <v>6</v>
      </c>
      <c r="B68" s="8" t="inlineStr">
        <is>
          <t>66</t>
        </is>
      </c>
      <c r="C68" s="11" t="inlineStr">
        <is>
          <t>BOSS-腐败尸王</t>
        </is>
      </c>
      <c r="D68" s="8" t="inlineStr">
        <is>
          <t>boss</t>
        </is>
      </c>
      <c r="E68" s="8" t="n">
        <v>500</v>
      </c>
      <c r="F68" s="8" t="n">
        <v>600</v>
      </c>
      <c r="G68" s="8" t="n">
        <v>175</v>
      </c>
      <c r="H68" s="8" t="n">
        <v>140</v>
      </c>
      <c r="I68" s="8" t="n">
        <v>5000</v>
      </c>
      <c r="J68" s="8" t="n">
        <v>40</v>
      </c>
      <c r="K68" s="8">
        <f>ROUND(H68/(H68+100),4)</f>
        <v/>
      </c>
      <c r="L68" s="8">
        <f>ROUND(I68*(H68+100)/100,2)</f>
        <v/>
      </c>
      <c r="M68" s="8">
        <f>ROUND(L68*G68,2)</f>
        <v/>
      </c>
      <c r="N68" t="inlineStr">
        <is>
          <t>繁荣腐化之心</t>
        </is>
      </c>
      <c r="O68" t="inlineStr">
        <is>
          <t>繁荣腐化铠甲</t>
        </is>
      </c>
      <c r="P68" t="inlineStr">
        <is>
          <t>流瘟裂骨杵</t>
        </is>
      </c>
    </row>
    <row r="69">
      <c r="A69" t="inlineStr">
        <is>
          <t>7飓风之眼</t>
        </is>
      </c>
      <c r="B69" s="8" t="inlineStr">
        <is>
          <t>67</t>
        </is>
      </c>
      <c r="C69" s="9" t="inlineStr">
        <is>
          <t>飓风之灵</t>
        </is>
      </c>
      <c r="D69" s="8" t="inlineStr">
        <is>
          <t>normal</t>
        </is>
      </c>
      <c r="E69" s="8" t="n">
        <v>170</v>
      </c>
      <c r="F69" s="8" t="n">
        <v>200</v>
      </c>
      <c r="G69" s="8" t="n">
        <v>280</v>
      </c>
      <c r="H69" s="8" t="n">
        <v>130</v>
      </c>
      <c r="I69" s="8" t="n">
        <v>700</v>
      </c>
      <c r="J69" s="8" t="n">
        <v>120</v>
      </c>
      <c r="K69" s="8">
        <f>ROUND(H69/(H69+100),4)</f>
        <v/>
      </c>
      <c r="L69" s="8">
        <f>ROUND(I69*(H69+100)/100,2)</f>
        <v/>
      </c>
      <c r="M69" s="8">
        <f>ROUND(L69*G69,2)</f>
        <v/>
      </c>
    </row>
    <row r="70">
      <c r="A70" t="n">
        <v>7</v>
      </c>
      <c r="B70" s="8" t="inlineStr">
        <is>
          <t>68</t>
        </is>
      </c>
      <c r="C70" s="9" t="inlineStr">
        <is>
          <t>飓风使徒</t>
        </is>
      </c>
      <c r="D70" s="8" t="inlineStr">
        <is>
          <t>normal</t>
        </is>
      </c>
      <c r="E70" s="8" t="n">
        <v>170</v>
      </c>
      <c r="F70" s="8" t="n">
        <v>200</v>
      </c>
      <c r="G70" s="8" t="n">
        <v>260</v>
      </c>
      <c r="H70" s="8" t="n">
        <v>125</v>
      </c>
      <c r="I70" s="8" t="n">
        <v>750</v>
      </c>
      <c r="J70" s="8" t="n">
        <v>125</v>
      </c>
      <c r="K70" s="8">
        <f>ROUND(H70/(H70+100),4)</f>
        <v/>
      </c>
      <c r="L70" s="8">
        <f>ROUND(I70*(H70+100)/100,2)</f>
        <v/>
      </c>
      <c r="M70" s="8">
        <f>ROUND(L70*G70,2)</f>
        <v/>
      </c>
      <c r="N70" t="inlineStr">
        <is>
          <t>飓风长鞭</t>
        </is>
      </c>
    </row>
    <row r="71">
      <c r="A71" t="n">
        <v>7</v>
      </c>
      <c r="B71" s="8" t="inlineStr">
        <is>
          <t>69</t>
        </is>
      </c>
      <c r="C71" s="9" t="inlineStr">
        <is>
          <t>狂风鸟</t>
        </is>
      </c>
      <c r="D71" s="8" t="inlineStr">
        <is>
          <t>normal</t>
        </is>
      </c>
      <c r="E71" s="8" t="n">
        <v>165</v>
      </c>
      <c r="F71" s="8" t="n">
        <v>190</v>
      </c>
      <c r="G71" s="8" t="n">
        <v>300</v>
      </c>
      <c r="H71" s="8" t="n">
        <v>110</v>
      </c>
      <c r="I71" s="8" t="n">
        <v>650</v>
      </c>
      <c r="J71" s="8" t="n">
        <v>160</v>
      </c>
      <c r="K71" s="8">
        <f>ROUND(H71/(H71+100),4)</f>
        <v/>
      </c>
      <c r="L71" s="8">
        <f>ROUND(I71*(H71+100)/100,2)</f>
        <v/>
      </c>
      <c r="M71" s="8">
        <f>ROUND(L71*G71,2)</f>
        <v/>
      </c>
    </row>
    <row r="72">
      <c r="A72" t="n">
        <v>7</v>
      </c>
      <c r="B72" s="8" t="inlineStr">
        <is>
          <t>70</t>
        </is>
      </c>
      <c r="C72" s="9" t="inlineStr">
        <is>
          <t>疾风翼龙</t>
        </is>
      </c>
      <c r="D72" s="8" t="inlineStr">
        <is>
          <t>normal</t>
        </is>
      </c>
      <c r="E72" s="8" t="n">
        <v>165</v>
      </c>
      <c r="F72" s="8" t="n">
        <v>190</v>
      </c>
      <c r="G72" s="8" t="n">
        <v>290</v>
      </c>
      <c r="H72" s="8" t="n">
        <v>110</v>
      </c>
      <c r="I72" s="8" t="n">
        <v>675</v>
      </c>
      <c r="J72" s="8" t="n">
        <v>135</v>
      </c>
      <c r="K72" s="8">
        <f>ROUND(H72/(H72+100),4)</f>
        <v/>
      </c>
      <c r="L72" s="8">
        <f>ROUND(I72*(H72+100)/100,2)</f>
        <v/>
      </c>
      <c r="M72" s="8">
        <f>ROUND(L72*G72,2)</f>
        <v/>
      </c>
    </row>
    <row r="73">
      <c r="A73" t="n">
        <v>7</v>
      </c>
      <c r="B73" s="8" t="inlineStr">
        <is>
          <t>71</t>
        </is>
      </c>
      <c r="C73" s="9" t="inlineStr">
        <is>
          <t>绝壁毒蟒</t>
        </is>
      </c>
      <c r="D73" s="8" t="inlineStr">
        <is>
          <t>normal</t>
        </is>
      </c>
      <c r="E73" s="8" t="n">
        <v>185</v>
      </c>
      <c r="F73" s="8" t="n">
        <v>200</v>
      </c>
      <c r="G73" s="8" t="n">
        <v>445</v>
      </c>
      <c r="H73" s="8" t="n">
        <v>90</v>
      </c>
      <c r="I73" s="8" t="n">
        <v>600</v>
      </c>
      <c r="J73" s="8" t="n">
        <v>110</v>
      </c>
      <c r="K73" s="8">
        <f>ROUND(H73/(H73+100),4)</f>
        <v/>
      </c>
      <c r="L73" s="8">
        <f>ROUND(I73*(H73+100)/100,2)</f>
        <v/>
      </c>
      <c r="M73" s="8">
        <f>ROUND(L73*G73,2)</f>
        <v/>
      </c>
      <c r="N73" t="inlineStr">
        <is>
          <t>飓风长鞭</t>
        </is>
      </c>
    </row>
    <row r="74">
      <c r="A74" t="n">
        <v>7</v>
      </c>
      <c r="B74" s="8" t="inlineStr">
        <is>
          <t>72</t>
        </is>
      </c>
      <c r="C74" s="9" t="inlineStr">
        <is>
          <t>猩红甲虫</t>
        </is>
      </c>
      <c r="D74" s="8" t="inlineStr">
        <is>
          <t>normal</t>
        </is>
      </c>
      <c r="E74" s="8" t="n">
        <v>170</v>
      </c>
      <c r="F74" s="8" t="n">
        <v>200</v>
      </c>
      <c r="G74" s="8" t="n">
        <v>220</v>
      </c>
      <c r="H74" s="8" t="n">
        <v>185</v>
      </c>
      <c r="I74" s="8" t="n">
        <v>900</v>
      </c>
      <c r="J74" s="8" t="n">
        <v>80</v>
      </c>
      <c r="K74" s="8">
        <f>ROUND(H74/(H74+100),4)</f>
        <v/>
      </c>
      <c r="L74" s="8">
        <f>ROUND(I74*(H74+100)/100,2)</f>
        <v/>
      </c>
      <c r="M74" s="8">
        <f>ROUND(L74*G74,2)</f>
        <v/>
      </c>
    </row>
    <row r="75">
      <c r="A75" t="n">
        <v>7</v>
      </c>
      <c r="B75" s="8" t="inlineStr">
        <is>
          <t>73</t>
        </is>
      </c>
      <c r="C75" s="9" t="inlineStr">
        <is>
          <t>风纹魔兽</t>
        </is>
      </c>
      <c r="D75" s="8" t="inlineStr">
        <is>
          <t>normal</t>
        </is>
      </c>
      <c r="E75" s="8" t="n">
        <v>150</v>
      </c>
      <c r="F75" s="8" t="n">
        <v>190</v>
      </c>
      <c r="G75" s="8" t="n">
        <v>260</v>
      </c>
      <c r="H75" s="8" t="n">
        <v>155</v>
      </c>
      <c r="I75" s="8" t="n">
        <v>800</v>
      </c>
      <c r="J75" s="8" t="n">
        <v>100</v>
      </c>
      <c r="K75" s="8">
        <f>ROUND(H75/(H75+100),4)</f>
        <v/>
      </c>
      <c r="L75" s="8">
        <f>ROUND(I75*(H75+100)/100,2)</f>
        <v/>
      </c>
      <c r="M75" s="8">
        <f>ROUND(L75*G75,2)</f>
        <v/>
      </c>
    </row>
    <row r="76">
      <c r="A76" t="n">
        <v>7</v>
      </c>
      <c r="B76" s="8" t="inlineStr">
        <is>
          <t>74</t>
        </is>
      </c>
      <c r="C76" s="10" t="inlineStr">
        <is>
          <t>风眼镇守者</t>
        </is>
      </c>
      <c r="D76" s="8" t="inlineStr">
        <is>
          <t>elite</t>
        </is>
      </c>
      <c r="E76" s="8" t="n">
        <v>275</v>
      </c>
      <c r="F76" s="8" t="n">
        <v>550</v>
      </c>
      <c r="G76" s="8" t="n">
        <v>350</v>
      </c>
      <c r="H76" s="8" t="n">
        <v>225</v>
      </c>
      <c r="I76" s="8" t="n">
        <v>1500</v>
      </c>
      <c r="J76" s="8" t="n">
        <v>100</v>
      </c>
      <c r="K76" s="8">
        <f>ROUND(H76/(H76+100),4)</f>
        <v/>
      </c>
      <c r="L76" s="8">
        <f>ROUND(I76*(H76+100)/100,2)</f>
        <v/>
      </c>
      <c r="M76" s="8">
        <f>ROUND(L76*G76,2)</f>
        <v/>
      </c>
      <c r="N76" t="inlineStr">
        <is>
          <t>定风战锤</t>
        </is>
      </c>
      <c r="O76" t="inlineStr">
        <is>
          <t>定风重铠</t>
        </is>
      </c>
    </row>
    <row r="77">
      <c r="A77" t="n">
        <v>7</v>
      </c>
      <c r="B77" s="8" t="inlineStr">
        <is>
          <t>75</t>
        </is>
      </c>
      <c r="C77" s="11" t="inlineStr">
        <is>
          <t>BOSS-狂风战将</t>
        </is>
      </c>
      <c r="D77" s="8" t="inlineStr">
        <is>
          <t>boss</t>
        </is>
      </c>
      <c r="E77" s="8" t="n">
        <v>600</v>
      </c>
      <c r="F77" s="8" t="n">
        <v>1400</v>
      </c>
      <c r="G77" s="8" t="n">
        <v>420</v>
      </c>
      <c r="H77" s="8" t="n">
        <v>265</v>
      </c>
      <c r="I77" s="8" t="n">
        <v>1800</v>
      </c>
      <c r="J77" s="8" t="n">
        <v>180</v>
      </c>
      <c r="K77" s="8">
        <f>ROUND(H77/(H77+100),4)</f>
        <v/>
      </c>
      <c r="L77" s="8">
        <f>ROUND(I77*(H77+100)/100,2)</f>
        <v/>
      </c>
      <c r="M77" s="8">
        <f>ROUND(L77*G77,2)</f>
        <v/>
      </c>
      <c r="N77" s="3" t="inlineStr">
        <is>
          <t>堕风神甲</t>
        </is>
      </c>
      <c r="O77" t="inlineStr">
        <is>
          <t>狂风长戟</t>
        </is>
      </c>
      <c r="P77" s="3" t="inlineStr">
        <is>
          <t>啸风玄履</t>
        </is>
      </c>
      <c r="Q77" t="inlineStr">
        <is>
          <t>风怒战环</t>
        </is>
      </c>
      <c r="R77" t="inlineStr">
        <is>
          <t>苍岚战盔</t>
        </is>
      </c>
    </row>
    <row r="78">
      <c r="A78" t="n">
        <v>7</v>
      </c>
      <c r="B78" s="8" t="inlineStr">
        <is>
          <t>76</t>
        </is>
      </c>
      <c r="C78" s="11" t="inlineStr">
        <is>
          <t>BOSS-灵风独角兽</t>
        </is>
      </c>
      <c r="D78" s="8" t="inlineStr">
        <is>
          <t>boss</t>
        </is>
      </c>
      <c r="E78" s="8" t="n">
        <v>620</v>
      </c>
      <c r="F78" s="8" t="n">
        <v>1200</v>
      </c>
      <c r="G78" s="8" t="n">
        <v>410</v>
      </c>
      <c r="H78" s="8" t="n">
        <v>230</v>
      </c>
      <c r="I78" s="8" t="n">
        <v>1600</v>
      </c>
      <c r="J78" s="8" t="n">
        <v>250</v>
      </c>
      <c r="K78" s="8">
        <f>ROUND(H78/(H78+100),4)</f>
        <v/>
      </c>
      <c r="L78" s="8">
        <f>ROUND(I78*(H78+100)/100,2)</f>
        <v/>
      </c>
      <c r="M78" s="8">
        <f>ROUND(L78*G78,2)</f>
        <v/>
      </c>
      <c r="N78" s="3" t="inlineStr">
        <is>
          <t>飓风神石</t>
        </is>
      </c>
      <c r="O78" t="inlineStr">
        <is>
          <t>仙灵之轻盈</t>
        </is>
      </c>
      <c r="P78" s="3" t="inlineStr">
        <is>
          <t>灵风鬃冠</t>
        </is>
      </c>
      <c r="Q78" t="inlineStr">
        <is>
          <t>灵风法杖</t>
        </is>
      </c>
      <c r="R78" t="inlineStr">
        <is>
          <t>飓风灵石</t>
        </is>
      </c>
    </row>
    <row r="79">
      <c r="A79" t="n">
        <v>7</v>
      </c>
      <c r="B79" s="8" t="inlineStr">
        <is>
          <t>77</t>
        </is>
      </c>
      <c r="C79" s="11" t="inlineStr">
        <is>
          <t>BOSS-风皇</t>
        </is>
      </c>
      <c r="D79" s="8" t="inlineStr">
        <is>
          <t>boss</t>
        </is>
      </c>
      <c r="E79" s="8" t="n">
        <v>700</v>
      </c>
      <c r="F79" s="8" t="n">
        <v>1800</v>
      </c>
      <c r="G79" s="8" t="n">
        <v>425</v>
      </c>
      <c r="H79" s="8" t="n">
        <v>365</v>
      </c>
      <c r="I79" s="8" t="n">
        <v>2000</v>
      </c>
      <c r="J79" s="8" t="n">
        <v>230</v>
      </c>
      <c r="K79" s="8">
        <f>ROUND(H79/(H79+100),4)</f>
        <v/>
      </c>
      <c r="L79" s="8">
        <f>ROUND(I79*(H79+100)/100,2)</f>
        <v/>
      </c>
      <c r="M79" s="8">
        <f>ROUND(L79*G79,2)</f>
        <v/>
      </c>
      <c r="N79" s="3" t="inlineStr">
        <is>
          <t>逆行斩</t>
        </is>
      </c>
      <c r="O79" s="3" t="inlineStr">
        <is>
          <t>九天罡风靴</t>
        </is>
      </c>
      <c r="P79" t="inlineStr">
        <is>
          <t>飓风灵石</t>
        </is>
      </c>
      <c r="Q79" t="inlineStr">
        <is>
          <t>风暴战刃</t>
        </is>
      </c>
      <c r="R79" t="inlineStr">
        <is>
          <t>万风王冠</t>
        </is>
      </c>
    </row>
    <row r="80">
      <c r="A80" t="n">
        <v>7</v>
      </c>
      <c r="B80" s="8" t="inlineStr">
        <is>
          <t>78</t>
        </is>
      </c>
      <c r="C80" s="11" t="inlineStr">
        <is>
          <t>隐秘-寻风神兽</t>
        </is>
      </c>
      <c r="D80" s="8" t="inlineStr">
        <is>
          <t>boss</t>
        </is>
      </c>
      <c r="E80" s="8" t="n">
        <v>15000</v>
      </c>
      <c r="F80" s="8" t="n">
        <v>15000</v>
      </c>
      <c r="G80" s="8" t="n">
        <v>580</v>
      </c>
      <c r="H80" s="8" t="n">
        <v>460</v>
      </c>
      <c r="I80" s="8" t="n">
        <v>2800</v>
      </c>
      <c r="J80" s="8" t="n">
        <v>280</v>
      </c>
      <c r="K80" s="8">
        <f>ROUND(H80/(H80+100),4)</f>
        <v/>
      </c>
      <c r="L80" s="8">
        <f>ROUND(I80*(H80+100)/100,2)</f>
        <v/>
      </c>
      <c r="M80" s="8">
        <f>ROUND(L80*G80,2)</f>
        <v/>
      </c>
      <c r="N80" s="3" t="inlineStr">
        <is>
          <t>隐秘-风暴降临之铠</t>
        </is>
      </c>
    </row>
    <row r="81">
      <c r="A81" t="n">
        <v>7</v>
      </c>
      <c r="B81" s="8" t="inlineStr">
        <is>
          <t>79</t>
        </is>
      </c>
      <c r="C81" s="10" t="inlineStr">
        <is>
          <t>狂热风蛊</t>
        </is>
      </c>
      <c r="D81" s="8" t="inlineStr">
        <is>
          <t>elite</t>
        </is>
      </c>
      <c r="E81" s="8" t="n">
        <v>100</v>
      </c>
      <c r="F81" s="8" t="n">
        <v>1200</v>
      </c>
      <c r="G81" s="8" t="n">
        <v>800</v>
      </c>
      <c r="H81" s="8" t="n">
        <v>0</v>
      </c>
      <c r="I81" s="8" t="n">
        <v>450</v>
      </c>
      <c r="J81" s="8" t="n">
        <v>300</v>
      </c>
      <c r="K81" s="8">
        <f>ROUND(H81/(H81+100),4)</f>
        <v/>
      </c>
      <c r="L81" s="8">
        <f>ROUND(I81*(H81+100)/100,2)</f>
        <v/>
      </c>
      <c r="M81" s="8">
        <f>ROUND(L81*G81,2)</f>
        <v/>
      </c>
      <c r="N81" t="inlineStr">
        <is>
          <t>避风珠</t>
        </is>
      </c>
      <c r="O81" s="3" t="inlineStr">
        <is>
          <t>狂热核心</t>
        </is>
      </c>
    </row>
    <row r="82">
      <c r="A82" t="inlineStr">
        <is>
          <t>8朝暮之城</t>
        </is>
      </c>
      <c r="B82" s="8" t="inlineStr">
        <is>
          <t>80</t>
        </is>
      </c>
      <c r="C82" s="9" t="inlineStr">
        <is>
          <t>守夜人</t>
        </is>
      </c>
      <c r="D82" s="8" t="inlineStr">
        <is>
          <t>normal</t>
        </is>
      </c>
      <c r="E82" s="8" t="n">
        <v>185</v>
      </c>
      <c r="F82" s="8" t="n">
        <v>320</v>
      </c>
      <c r="G82" s="8" t="n">
        <v>400</v>
      </c>
      <c r="H82" s="8" t="n">
        <v>235</v>
      </c>
      <c r="I82" s="8" t="n">
        <v>850</v>
      </c>
      <c r="J82" s="8" t="n">
        <v>120</v>
      </c>
      <c r="K82" s="8">
        <f>ROUND(H82/(H82+100),4)</f>
        <v/>
      </c>
      <c r="L82" s="8">
        <f>ROUND(I82*(H82+100)/100,2)</f>
        <v/>
      </c>
      <c r="M82" s="8">
        <f>ROUND(L82*G82,2)</f>
        <v/>
      </c>
    </row>
    <row r="83">
      <c r="A83" t="n">
        <v>8</v>
      </c>
      <c r="B83" s="8" t="inlineStr">
        <is>
          <t>81</t>
        </is>
      </c>
      <c r="C83" s="9" t="inlineStr">
        <is>
          <t>打更人</t>
        </is>
      </c>
      <c r="D83" s="8" t="inlineStr">
        <is>
          <t>normal</t>
        </is>
      </c>
      <c r="E83" s="8" t="n">
        <v>175</v>
      </c>
      <c r="F83" s="8" t="n">
        <v>330</v>
      </c>
      <c r="G83" s="8" t="n">
        <v>400</v>
      </c>
      <c r="H83" s="8" t="n">
        <v>250</v>
      </c>
      <c r="I83" s="8" t="n">
        <v>850</v>
      </c>
      <c r="J83" s="8" t="n">
        <v>120</v>
      </c>
      <c r="K83" s="8">
        <f>ROUND(H83/(H83+100),4)</f>
        <v/>
      </c>
      <c r="L83" s="8">
        <f>ROUND(I83*(H83+100)/100,2)</f>
        <v/>
      </c>
      <c r="M83" s="8">
        <f>ROUND(L83*G83,2)</f>
        <v/>
      </c>
    </row>
    <row r="84">
      <c r="A84" t="n">
        <v>8</v>
      </c>
      <c r="B84" s="8" t="inlineStr">
        <is>
          <t>82</t>
        </is>
      </c>
      <c r="C84" s="9" t="inlineStr">
        <is>
          <t>暗夜之灵</t>
        </is>
      </c>
      <c r="D84" s="8" t="inlineStr">
        <is>
          <t>normal</t>
        </is>
      </c>
      <c r="E84" s="8" t="n">
        <v>175</v>
      </c>
      <c r="F84" s="8" t="n">
        <v>290</v>
      </c>
      <c r="G84" s="8" t="n">
        <v>425</v>
      </c>
      <c r="H84" s="8" t="n">
        <v>220</v>
      </c>
      <c r="I84" s="8" t="n">
        <v>800</v>
      </c>
      <c r="J84" s="8" t="n">
        <v>130</v>
      </c>
      <c r="K84" s="8">
        <f>ROUND(H84/(H84+100),4)</f>
        <v/>
      </c>
      <c r="L84" s="8">
        <f>ROUND(I84*(H84+100)/100,2)</f>
        <v/>
      </c>
      <c r="M84" s="8">
        <f>ROUND(L84*G84,2)</f>
        <v/>
      </c>
    </row>
    <row r="85">
      <c r="A85" t="n">
        <v>8</v>
      </c>
      <c r="B85" s="8" t="inlineStr">
        <is>
          <t>83</t>
        </is>
      </c>
      <c r="C85" s="9" t="inlineStr">
        <is>
          <t>堕魔</t>
        </is>
      </c>
      <c r="D85" s="8" t="inlineStr">
        <is>
          <t>normal</t>
        </is>
      </c>
      <c r="E85" s="8" t="n">
        <v>190</v>
      </c>
      <c r="F85" s="8" t="n">
        <v>340</v>
      </c>
      <c r="G85" s="8" t="n">
        <v>450</v>
      </c>
      <c r="H85" s="8" t="n">
        <v>190</v>
      </c>
      <c r="I85" s="8" t="n">
        <v>820</v>
      </c>
      <c r="J85" s="8" t="n">
        <v>135</v>
      </c>
      <c r="K85" s="8">
        <f>ROUND(H85/(H85+100),4)</f>
        <v/>
      </c>
      <c r="L85" s="8">
        <f>ROUND(I85*(H85+100)/100,2)</f>
        <v/>
      </c>
      <c r="M85" s="8">
        <f>ROUND(L85*G85,2)</f>
        <v/>
      </c>
    </row>
    <row r="86">
      <c r="A86" t="n">
        <v>8</v>
      </c>
      <c r="B86" s="8" t="inlineStr">
        <is>
          <t>84</t>
        </is>
      </c>
      <c r="C86" s="9" t="inlineStr">
        <is>
          <t>墓穴魔蛛</t>
        </is>
      </c>
      <c r="D86" s="8" t="inlineStr">
        <is>
          <t>normal</t>
        </is>
      </c>
      <c r="E86" s="8" t="n">
        <v>200</v>
      </c>
      <c r="F86" s="8" t="n">
        <v>325</v>
      </c>
      <c r="G86" s="8" t="n">
        <v>460</v>
      </c>
      <c r="H86" s="8" t="n">
        <v>180</v>
      </c>
      <c r="I86" s="8" t="n">
        <v>750</v>
      </c>
      <c r="J86" s="8" t="n">
        <v>150</v>
      </c>
      <c r="K86" s="8">
        <f>ROUND(H86/(H86+100),4)</f>
        <v/>
      </c>
      <c r="L86" s="8">
        <f>ROUND(I86*(H86+100)/100,2)</f>
        <v/>
      </c>
      <c r="M86" s="8">
        <f>ROUND(L86*G86,2)</f>
        <v/>
      </c>
    </row>
    <row r="87">
      <c r="A87" t="n">
        <v>8</v>
      </c>
      <c r="B87" s="8" t="inlineStr">
        <is>
          <t>85</t>
        </is>
      </c>
      <c r="C87" s="9" t="inlineStr">
        <is>
          <t>黑钢守卫者</t>
        </is>
      </c>
      <c r="D87" s="8" t="inlineStr">
        <is>
          <t>normal</t>
        </is>
      </c>
      <c r="E87" s="8" t="n">
        <v>195</v>
      </c>
      <c r="F87" s="8" t="n">
        <v>350</v>
      </c>
      <c r="G87" s="8" t="n">
        <v>375</v>
      </c>
      <c r="H87" s="8" t="n">
        <v>300</v>
      </c>
      <c r="I87" s="8" t="n">
        <v>1000</v>
      </c>
      <c r="J87" s="8" t="n">
        <v>100</v>
      </c>
      <c r="K87" s="8">
        <f>ROUND(H87/(H87+100),4)</f>
        <v/>
      </c>
      <c r="L87" s="8">
        <f>ROUND(I87*(H87+100)/100,2)</f>
        <v/>
      </c>
      <c r="M87" s="8">
        <f>ROUND(L87*G87,2)</f>
        <v/>
      </c>
      <c r="N87" t="inlineStr">
        <is>
          <t>合金之铠</t>
        </is>
      </c>
    </row>
    <row r="88">
      <c r="A88" t="n">
        <v>8</v>
      </c>
      <c r="B88" s="8" t="inlineStr">
        <is>
          <t>86</t>
        </is>
      </c>
      <c r="C88" s="9" t="inlineStr">
        <is>
          <t>白金守卫者</t>
        </is>
      </c>
      <c r="D88" s="8" t="inlineStr">
        <is>
          <t>normal</t>
        </is>
      </c>
      <c r="E88" s="8" t="n">
        <v>150</v>
      </c>
      <c r="F88" s="8" t="n">
        <v>350</v>
      </c>
      <c r="G88" s="8" t="n">
        <v>450</v>
      </c>
      <c r="H88" s="8" t="n">
        <v>250</v>
      </c>
      <c r="I88" s="8" t="n">
        <v>1000</v>
      </c>
      <c r="J88" s="8" t="n">
        <v>100</v>
      </c>
      <c r="K88" s="8">
        <f>ROUND(H88/(H88+100),4)</f>
        <v/>
      </c>
      <c r="L88" s="8">
        <f>ROUND(I88*(H88+100)/100,2)</f>
        <v/>
      </c>
      <c r="M88" s="8">
        <f>ROUND(L88*G88,2)</f>
        <v/>
      </c>
      <c r="N88" t="inlineStr">
        <is>
          <t>合金之铠</t>
        </is>
      </c>
    </row>
    <row r="89">
      <c r="A89" t="n">
        <v>8</v>
      </c>
      <c r="B89" s="8" t="inlineStr">
        <is>
          <t>87</t>
        </is>
      </c>
      <c r="C89" s="10" t="inlineStr">
        <is>
          <t>极光斗士</t>
        </is>
      </c>
      <c r="D89" s="8" t="inlineStr">
        <is>
          <t>elite</t>
        </is>
      </c>
      <c r="E89" s="8" t="n">
        <v>300</v>
      </c>
      <c r="F89" s="8" t="n">
        <v>1000</v>
      </c>
      <c r="G89" s="8" t="n">
        <v>500</v>
      </c>
      <c r="H89" s="8" t="n">
        <v>275</v>
      </c>
      <c r="I89" s="8" t="n">
        <v>1500</v>
      </c>
      <c r="J89" s="8" t="n">
        <v>270</v>
      </c>
      <c r="K89" s="8">
        <f>ROUND(H89/(H89+100),4)</f>
        <v/>
      </c>
      <c r="L89" s="8">
        <f>ROUND(I89*(H89+100)/100,2)</f>
        <v/>
      </c>
      <c r="M89" s="8">
        <f>ROUND(L89*G89,2)</f>
        <v/>
      </c>
    </row>
    <row r="90">
      <c r="A90" t="n">
        <v>8</v>
      </c>
      <c r="B90" s="8" t="inlineStr">
        <is>
          <t>88</t>
        </is>
      </c>
      <c r="C90" s="11" t="inlineStr">
        <is>
          <t>BOSS-白昼之神</t>
        </is>
      </c>
      <c r="D90" s="8" t="inlineStr">
        <is>
          <t>boss</t>
        </is>
      </c>
      <c r="E90" s="8" t="n">
        <v>750</v>
      </c>
      <c r="F90" s="8" t="n">
        <v>3000</v>
      </c>
      <c r="G90" s="8" t="n">
        <v>850</v>
      </c>
      <c r="H90" s="8" t="n">
        <v>300</v>
      </c>
      <c r="I90" s="8" t="n">
        <v>2300</v>
      </c>
      <c r="J90" s="8" t="n">
        <v>250</v>
      </c>
      <c r="K90" s="8">
        <f>ROUND(H90/(H90+100),4)</f>
        <v/>
      </c>
      <c r="L90" s="8">
        <f>ROUND(I90*(H90+100)/100,2)</f>
        <v/>
      </c>
      <c r="M90" s="8">
        <f>ROUND(L90*G90,2)</f>
        <v/>
      </c>
      <c r="N90" t="inlineStr">
        <is>
          <t>一寸朝夕</t>
        </is>
      </c>
      <c r="O90" t="inlineStr">
        <is>
          <t>白昼宝珠</t>
        </is>
      </c>
      <c r="P90" s="3" t="inlineStr">
        <is>
          <t>晨露之冕</t>
        </is>
      </c>
    </row>
    <row r="91">
      <c r="A91" t="n">
        <v>8</v>
      </c>
      <c r="B91" s="8" t="inlineStr">
        <is>
          <t>89</t>
        </is>
      </c>
      <c r="C91" s="11" t="inlineStr">
        <is>
          <t>BOSS-暮色之神</t>
        </is>
      </c>
      <c r="D91" s="8" t="inlineStr">
        <is>
          <t>boss</t>
        </is>
      </c>
      <c r="E91" s="8" t="n">
        <v>750</v>
      </c>
      <c r="F91" s="8" t="n">
        <v>3000</v>
      </c>
      <c r="G91" s="8" t="n">
        <v>580</v>
      </c>
      <c r="H91" s="8" t="n">
        <v>390</v>
      </c>
      <c r="I91" s="8" t="n">
        <v>2700</v>
      </c>
      <c r="J91" s="8" t="n">
        <v>250</v>
      </c>
      <c r="K91" s="8">
        <f>ROUND(H91/(H91+100),4)</f>
        <v/>
      </c>
      <c r="L91" s="8">
        <f>ROUND(I91*(H91+100)/100,2)</f>
        <v/>
      </c>
      <c r="M91" s="8">
        <f>ROUND(L91*G91,2)</f>
        <v/>
      </c>
      <c r="N91" t="inlineStr">
        <is>
          <t>一寸暮色</t>
        </is>
      </c>
      <c r="O91" s="3" t="inlineStr">
        <is>
          <t>暗夜宝珠</t>
        </is>
      </c>
      <c r="P91" s="3" t="inlineStr">
        <is>
          <t>暮光游行</t>
        </is>
      </c>
    </row>
    <row r="92">
      <c r="A92" t="n">
        <v>8</v>
      </c>
      <c r="B92" s="8" t="inlineStr">
        <is>
          <t>90</t>
        </is>
      </c>
      <c r="C92" s="11" t="inlineStr">
        <is>
          <t>隐秘-光暗斗神</t>
        </is>
      </c>
      <c r="D92" s="8" t="inlineStr">
        <is>
          <t>boss</t>
        </is>
      </c>
      <c r="E92" s="8" t="n">
        <v>17500</v>
      </c>
      <c r="F92" s="8" t="n">
        <v>17500</v>
      </c>
      <c r="G92" s="8" t="n">
        <v>900</v>
      </c>
      <c r="H92" s="8" t="n">
        <v>580</v>
      </c>
      <c r="I92" s="8" t="n">
        <v>4000</v>
      </c>
      <c r="J92" s="8" t="n">
        <v>400</v>
      </c>
      <c r="K92" s="8">
        <f>ROUND(H92/(H92+100),4)</f>
        <v/>
      </c>
      <c r="L92" s="8">
        <f>ROUND(I92*(H92+100)/100,2)</f>
        <v/>
      </c>
      <c r="M92" s="8">
        <f>ROUND(L92*G92,2)</f>
        <v/>
      </c>
      <c r="N92" s="3" t="inlineStr">
        <is>
          <t>隐秘-光暗边界</t>
        </is>
      </c>
    </row>
    <row r="93">
      <c r="A93" t="n">
        <v>8</v>
      </c>
      <c r="B93" s="8" t="inlineStr">
        <is>
          <t>91</t>
        </is>
      </c>
      <c r="C93" s="10" t="inlineStr">
        <is>
          <t>暗影巡猎者</t>
        </is>
      </c>
      <c r="D93" s="8" t="inlineStr">
        <is>
          <t>elite</t>
        </is>
      </c>
      <c r="E93" s="8" t="n">
        <v>300</v>
      </c>
      <c r="F93" s="8" t="n">
        <v>1200</v>
      </c>
      <c r="G93" s="8" t="n">
        <v>1000</v>
      </c>
      <c r="H93" s="8" t="n">
        <v>120</v>
      </c>
      <c r="I93" s="8" t="n">
        <v>1400</v>
      </c>
      <c r="J93" s="8" t="n">
        <v>400</v>
      </c>
      <c r="K93" s="8">
        <f>ROUND(H93/(H93+100),4)</f>
        <v/>
      </c>
      <c r="L93" s="8">
        <f>ROUND(I93*(H93+100)/100,2)</f>
        <v/>
      </c>
      <c r="M93" s="8">
        <f>ROUND(L93*G93,2)</f>
        <v/>
      </c>
      <c r="N93" t="inlineStr">
        <is>
          <t>巡猎者之刃</t>
        </is>
      </c>
    </row>
    <row r="94">
      <c r="A94" t="n">
        <v>8</v>
      </c>
      <c r="B94" s="8" t="inlineStr">
        <is>
          <t>92</t>
        </is>
      </c>
      <c r="C94" s="10" t="inlineStr">
        <is>
          <t>晨锋哨卫</t>
        </is>
      </c>
      <c r="D94" s="8" t="inlineStr">
        <is>
          <t>elite</t>
        </is>
      </c>
      <c r="E94" s="8" t="n">
        <v>480</v>
      </c>
      <c r="F94" s="8" t="n">
        <v>950</v>
      </c>
      <c r="G94" s="8" t="n">
        <v>480</v>
      </c>
      <c r="H94" s="8" t="n">
        <v>300</v>
      </c>
      <c r="I94" s="8" t="n">
        <v>2400</v>
      </c>
      <c r="J94" s="8" t="n">
        <v>230</v>
      </c>
      <c r="K94" s="8">
        <f>ROUND(H94/(H94+100),4)</f>
        <v/>
      </c>
      <c r="L94" s="8">
        <f>ROUND(I94*(H94+100)/100,2)</f>
        <v/>
      </c>
      <c r="M94" s="8">
        <f>ROUND(L94*G94,2)</f>
        <v/>
      </c>
      <c r="N94" t="inlineStr">
        <is>
          <t>晨光之盾</t>
        </is>
      </c>
    </row>
    <row r="95">
      <c r="A95" t="n">
        <v>8</v>
      </c>
      <c r="B95" s="8" t="inlineStr">
        <is>
          <t>93</t>
        </is>
      </c>
      <c r="C95" s="11" t="inlineStr">
        <is>
          <t>BOSS-光阴行者</t>
        </is>
      </c>
      <c r="D95" s="8" t="inlineStr">
        <is>
          <t>boss</t>
        </is>
      </c>
      <c r="E95" s="8" t="n">
        <v>800</v>
      </c>
      <c r="F95" s="8" t="n">
        <v>3600</v>
      </c>
      <c r="G95" s="8" t="n">
        <v>750</v>
      </c>
      <c r="H95" s="8" t="n">
        <v>340</v>
      </c>
      <c r="I95" s="8" t="n">
        <v>2500</v>
      </c>
      <c r="J95" s="8" t="n">
        <v>600</v>
      </c>
      <c r="K95" s="8">
        <f>ROUND(H95/(H95+100),4)</f>
        <v/>
      </c>
      <c r="L95" s="8">
        <f>ROUND(I95*(H95+100)/100,2)</f>
        <v/>
      </c>
      <c r="M95" s="8">
        <f>ROUND(L95*G95,2)</f>
        <v/>
      </c>
      <c r="N95" t="inlineStr">
        <is>
          <t>光阴之剑</t>
        </is>
      </c>
      <c r="O95" t="inlineStr">
        <is>
          <t>时光之瞬面罩</t>
        </is>
      </c>
      <c r="P95" t="inlineStr">
        <is>
          <t>永恒编织者甲胄</t>
        </is>
      </c>
      <c r="Q95" t="inlineStr">
        <is>
          <t>流光行者踏靴</t>
        </is>
      </c>
      <c r="R95" t="inlineStr">
        <is>
          <t>光阴秘钥</t>
        </is>
      </c>
    </row>
    <row r="96">
      <c r="A96" t="n">
        <v>8</v>
      </c>
      <c r="B96" s="8" t="inlineStr">
        <is>
          <t>94</t>
        </is>
      </c>
      <c r="C96" s="11" t="inlineStr">
        <is>
          <t>BOSS-日月神将</t>
        </is>
      </c>
      <c r="D96" s="8" t="inlineStr">
        <is>
          <t>boss</t>
        </is>
      </c>
      <c r="E96" s="8" t="n">
        <v>900</v>
      </c>
      <c r="F96" s="8" t="n">
        <v>4000</v>
      </c>
      <c r="G96" s="8" t="n">
        <v>820</v>
      </c>
      <c r="H96" s="8" t="n">
        <v>360</v>
      </c>
      <c r="I96" s="8" t="n">
        <v>2600</v>
      </c>
      <c r="J96" s="8" t="n">
        <v>250</v>
      </c>
      <c r="K96" s="8">
        <f>ROUND(H96/(H96+100),4)</f>
        <v/>
      </c>
      <c r="L96" s="8">
        <f>ROUND(I96*(H96+100)/100,2)</f>
        <v/>
      </c>
      <c r="M96" s="8">
        <f>ROUND(L96*G96,2)</f>
        <v/>
      </c>
      <c r="N96" s="3" t="inlineStr">
        <is>
          <t>日月披挂</t>
        </is>
      </c>
      <c r="O96" t="inlineStr">
        <is>
          <t>日月天衡冠</t>
        </is>
      </c>
      <c r="P96" t="inlineStr">
        <is>
          <t>日月踏罡靴</t>
        </is>
      </c>
      <c r="Q96" s="3" t="inlineStr">
        <is>
          <t>日月裁决</t>
        </is>
      </c>
      <c r="R96" s="12" t="inlineStr">
        <is>
          <t>日耀之环</t>
        </is>
      </c>
      <c r="S96" t="inlineStr">
        <is>
          <t>月华之环</t>
        </is>
      </c>
    </row>
    <row r="97">
      <c r="A97" t="inlineStr">
        <is>
          <t>9无底深渊</t>
        </is>
      </c>
      <c r="B97" s="8" t="inlineStr">
        <is>
          <t>95</t>
        </is>
      </c>
      <c r="C97" s="9" t="inlineStr">
        <is>
          <t>魔鬼巨隼</t>
        </is>
      </c>
      <c r="D97" s="8" t="inlineStr">
        <is>
          <t>normal</t>
        </is>
      </c>
      <c r="E97" s="8" t="n">
        <v>195</v>
      </c>
      <c r="F97" s="8" t="n">
        <v>425</v>
      </c>
      <c r="G97" s="8" t="n">
        <v>600</v>
      </c>
      <c r="H97" s="8" t="n">
        <v>320</v>
      </c>
      <c r="I97" s="8" t="n">
        <v>1000</v>
      </c>
      <c r="J97" s="8" t="n">
        <v>230</v>
      </c>
      <c r="K97" s="8">
        <f>ROUND(H97/(H97+100),4)</f>
        <v/>
      </c>
      <c r="L97" s="8">
        <f>ROUND(I97*(H97+100)/100,2)</f>
        <v/>
      </c>
      <c r="M97" s="8">
        <f>ROUND(L97*G97,2)</f>
        <v/>
      </c>
    </row>
    <row r="98">
      <c r="A98" t="n">
        <v>9</v>
      </c>
      <c r="B98" s="8" t="inlineStr">
        <is>
          <t>96</t>
        </is>
      </c>
      <c r="C98" s="9" t="inlineStr">
        <is>
          <t>黑暗巨兽</t>
        </is>
      </c>
      <c r="D98" s="8" t="inlineStr">
        <is>
          <t>normal</t>
        </is>
      </c>
      <c r="E98" s="8" t="n">
        <v>185</v>
      </c>
      <c r="F98" s="8" t="n">
        <v>430</v>
      </c>
      <c r="G98" s="8" t="n">
        <v>560</v>
      </c>
      <c r="H98" s="8" t="n">
        <v>370</v>
      </c>
      <c r="I98" s="8" t="n">
        <v>950</v>
      </c>
      <c r="J98" s="8" t="n">
        <v>210</v>
      </c>
      <c r="K98" s="8">
        <f>ROUND(H98/(H98+100),4)</f>
        <v/>
      </c>
      <c r="L98" s="8">
        <f>ROUND(I98*(H98+100)/100,2)</f>
        <v/>
      </c>
      <c r="M98" s="8">
        <f>ROUND(L98*G98,2)</f>
        <v/>
      </c>
    </row>
    <row r="99">
      <c r="A99" t="n">
        <v>9</v>
      </c>
      <c r="B99" s="8" t="inlineStr">
        <is>
          <t>97</t>
        </is>
      </c>
      <c r="C99" s="9" t="inlineStr">
        <is>
          <t>死亡猎手</t>
        </is>
      </c>
      <c r="D99" s="8" t="inlineStr">
        <is>
          <t>normal</t>
        </is>
      </c>
      <c r="E99" s="8" t="n">
        <v>180</v>
      </c>
      <c r="F99" s="8" t="n">
        <v>385</v>
      </c>
      <c r="G99" s="8" t="n">
        <v>650</v>
      </c>
      <c r="H99" s="8" t="n">
        <v>300</v>
      </c>
      <c r="I99" s="8" t="n">
        <v>880</v>
      </c>
      <c r="J99" s="8" t="n">
        <v>280</v>
      </c>
      <c r="K99" s="8">
        <f>ROUND(H99/(H99+100),4)</f>
        <v/>
      </c>
      <c r="L99" s="8">
        <f>ROUND(I99*(H99+100)/100,2)</f>
        <v/>
      </c>
      <c r="M99" s="8">
        <f>ROUND(L99*G99,2)</f>
        <v/>
      </c>
    </row>
    <row r="100">
      <c r="A100" t="n">
        <v>9</v>
      </c>
      <c r="B100" s="8" t="inlineStr">
        <is>
          <t>98</t>
        </is>
      </c>
      <c r="C100" s="9" t="inlineStr">
        <is>
          <t>黑洞虫群</t>
        </is>
      </c>
      <c r="D100" s="8" t="inlineStr">
        <is>
          <t>normal</t>
        </is>
      </c>
      <c r="E100" s="8" t="n">
        <v>200</v>
      </c>
      <c r="F100" s="8" t="n">
        <v>445</v>
      </c>
      <c r="G100" s="8" t="n">
        <v>670</v>
      </c>
      <c r="H100" s="8" t="n">
        <v>370</v>
      </c>
      <c r="I100" s="8" t="n">
        <v>1020</v>
      </c>
      <c r="J100" s="8" t="n">
        <v>300</v>
      </c>
      <c r="K100" s="8">
        <f>ROUND(H100/(H100+100),4)</f>
        <v/>
      </c>
      <c r="L100" s="8">
        <f>ROUND(I100*(H100+100)/100,2)</f>
        <v/>
      </c>
      <c r="M100" s="8">
        <f>ROUND(L100*G100,2)</f>
        <v/>
      </c>
    </row>
    <row r="101">
      <c r="A101" t="n">
        <v>9</v>
      </c>
      <c r="B101" s="8" t="inlineStr">
        <is>
          <t>99</t>
        </is>
      </c>
      <c r="C101" s="9" t="inlineStr">
        <is>
          <t>腥风魔蛟</t>
        </is>
      </c>
      <c r="D101" s="8" t="inlineStr">
        <is>
          <t>normal</t>
        </is>
      </c>
      <c r="E101" s="8" t="n">
        <v>210</v>
      </c>
      <c r="F101" s="8" t="n">
        <v>425</v>
      </c>
      <c r="G101" s="8" t="n">
        <v>580</v>
      </c>
      <c r="H101" s="8" t="n">
        <v>350</v>
      </c>
      <c r="I101" s="8" t="n">
        <v>1050</v>
      </c>
      <c r="J101" s="8" t="n">
        <v>250</v>
      </c>
      <c r="K101" s="8">
        <f>ROUND(H101/(H101+100),4)</f>
        <v/>
      </c>
      <c r="L101" s="8">
        <f>ROUND(I101*(H101+100)/100,2)</f>
        <v/>
      </c>
      <c r="M101" s="8">
        <f>ROUND(L101*G101,2)</f>
        <v/>
      </c>
    </row>
    <row r="102">
      <c r="A102" t="n">
        <v>9</v>
      </c>
      <c r="B102" s="8" t="inlineStr">
        <is>
          <t>100</t>
        </is>
      </c>
      <c r="C102" s="9" t="inlineStr">
        <is>
          <t>深渊巨口</t>
        </is>
      </c>
      <c r="D102" s="8" t="inlineStr">
        <is>
          <t>normal</t>
        </is>
      </c>
      <c r="E102" s="8" t="n">
        <v>200</v>
      </c>
      <c r="F102" s="8" t="n">
        <v>500</v>
      </c>
      <c r="G102" s="8" t="n">
        <v>3000</v>
      </c>
      <c r="H102" s="8" t="n">
        <v>0</v>
      </c>
      <c r="I102" s="8" t="n">
        <v>1</v>
      </c>
      <c r="J102" s="8" t="n">
        <v>650</v>
      </c>
      <c r="K102" s="8">
        <f>ROUND(H102/(H102+100),4)</f>
        <v/>
      </c>
      <c r="L102" s="8">
        <f>ROUND(I102*(H102+100)/100,2)</f>
        <v/>
      </c>
      <c r="M102" s="8">
        <f>ROUND(L102*G102,2)</f>
        <v/>
      </c>
    </row>
    <row r="103">
      <c r="A103" t="n">
        <v>9</v>
      </c>
      <c r="B103" s="8" t="inlineStr">
        <is>
          <t>101</t>
        </is>
      </c>
      <c r="C103" s="9" t="inlineStr">
        <is>
          <t>邪灵</t>
        </is>
      </c>
      <c r="D103" s="8" t="inlineStr">
        <is>
          <t>normal</t>
        </is>
      </c>
      <c r="E103" s="8" t="n">
        <v>155</v>
      </c>
      <c r="F103" s="8" t="n">
        <v>465</v>
      </c>
      <c r="G103" s="8" t="n">
        <v>645</v>
      </c>
      <c r="H103" s="8" t="n">
        <v>370</v>
      </c>
      <c r="I103" s="8" t="n">
        <v>800</v>
      </c>
      <c r="J103" s="8" t="n">
        <v>300</v>
      </c>
      <c r="K103" s="8">
        <f>ROUND(H103/(H103+100),4)</f>
        <v/>
      </c>
      <c r="L103" s="8">
        <f>ROUND(I103*(H103+100)/100,2)</f>
        <v/>
      </c>
      <c r="M103" s="8">
        <f>ROUND(L103*G103,2)</f>
        <v/>
      </c>
    </row>
    <row r="104">
      <c r="A104" t="n">
        <v>9</v>
      </c>
      <c r="B104" s="8" t="inlineStr">
        <is>
          <t>102</t>
        </is>
      </c>
      <c r="C104" s="10" t="inlineStr">
        <is>
          <t>流渊魔猎手</t>
        </is>
      </c>
      <c r="D104" s="8" t="inlineStr">
        <is>
          <t>elite</t>
        </is>
      </c>
      <c r="E104" s="8" t="n">
        <v>350</v>
      </c>
      <c r="F104" s="8" t="n">
        <v>1400</v>
      </c>
      <c r="G104" s="8" t="n">
        <v>900</v>
      </c>
      <c r="H104" s="8" t="n">
        <v>400</v>
      </c>
      <c r="I104" s="8" t="n">
        <v>1600</v>
      </c>
      <c r="J104" s="8" t="n">
        <v>350</v>
      </c>
      <c r="K104" s="8">
        <f>ROUND(H104/(H104+100),4)</f>
        <v/>
      </c>
      <c r="L104" s="8">
        <f>ROUND(I104*(H104+100)/100,2)</f>
        <v/>
      </c>
      <c r="M104" s="8">
        <f>ROUND(L104*G104,2)</f>
        <v/>
      </c>
    </row>
    <row r="105">
      <c r="A105" t="n">
        <v>9</v>
      </c>
      <c r="B105" s="8" t="inlineStr">
        <is>
          <t>103</t>
        </is>
      </c>
      <c r="C105" s="10" t="inlineStr">
        <is>
          <t>流渊魔剑士</t>
        </is>
      </c>
      <c r="D105" s="8" t="inlineStr">
        <is>
          <t>elite</t>
        </is>
      </c>
      <c r="E105" s="8" t="n">
        <v>350</v>
      </c>
      <c r="F105" s="8" t="n">
        <v>1400</v>
      </c>
      <c r="G105" s="8" t="n">
        <v>700</v>
      </c>
      <c r="H105" s="8" t="n">
        <v>500</v>
      </c>
      <c r="I105" s="8" t="n">
        <v>2000</v>
      </c>
      <c r="J105" s="8" t="n">
        <v>400</v>
      </c>
      <c r="K105" s="8">
        <f>ROUND(H105/(H105+100),4)</f>
        <v/>
      </c>
      <c r="L105" s="8">
        <f>ROUND(I105*(H105+100)/100,2)</f>
        <v/>
      </c>
      <c r="M105" s="8">
        <f>ROUND(L105*G105,2)</f>
        <v/>
      </c>
    </row>
    <row r="106">
      <c r="A106" t="n">
        <v>9</v>
      </c>
      <c r="B106" s="8" t="inlineStr">
        <is>
          <t>104</t>
        </is>
      </c>
      <c r="C106" s="10" t="inlineStr">
        <is>
          <t>深渊吞噬</t>
        </is>
      </c>
      <c r="D106" s="8" t="inlineStr">
        <is>
          <t>elite</t>
        </is>
      </c>
      <c r="E106" s="8" t="n">
        <v>400</v>
      </c>
      <c r="F106" s="8" t="n">
        <v>2000</v>
      </c>
      <c r="G106" s="8" t="n">
        <v>3200</v>
      </c>
      <c r="H106" s="8" t="n">
        <v>200</v>
      </c>
      <c r="I106" s="8" t="n">
        <v>1000</v>
      </c>
      <c r="J106" s="8" t="n">
        <v>700</v>
      </c>
      <c r="K106" s="8">
        <f>ROUND(H106/(H106+100),4)</f>
        <v/>
      </c>
      <c r="L106" s="8">
        <f>ROUND(I106*(H106+100)/100,2)</f>
        <v/>
      </c>
      <c r="M106" s="8">
        <f>ROUND(L106*G106,2)</f>
        <v/>
      </c>
    </row>
    <row r="107">
      <c r="A107" t="n">
        <v>9</v>
      </c>
      <c r="B107" s="8" t="inlineStr">
        <is>
          <t>105</t>
        </is>
      </c>
      <c r="C107" s="11" t="inlineStr">
        <is>
          <t>BOSS-结界守卫者</t>
        </is>
      </c>
      <c r="D107" s="8" t="inlineStr">
        <is>
          <t>boss</t>
        </is>
      </c>
      <c r="E107" s="8" t="n">
        <v>760</v>
      </c>
      <c r="F107" s="8" t="n">
        <v>4000</v>
      </c>
      <c r="G107" s="8" t="n">
        <v>800</v>
      </c>
      <c r="H107" s="8" t="n">
        <v>490</v>
      </c>
      <c r="I107" s="8" t="n">
        <v>3000</v>
      </c>
      <c r="J107" s="8" t="n">
        <v>300</v>
      </c>
      <c r="K107" s="8">
        <f>ROUND(H107/(H107+100),4)</f>
        <v/>
      </c>
      <c r="L107" s="8">
        <f>ROUND(I107*(H107+100)/100,2)</f>
        <v/>
      </c>
      <c r="M107" s="8">
        <f>ROUND(L107*G107,2)</f>
        <v/>
      </c>
      <c r="N107" s="4" t="inlineStr">
        <is>
          <t>界律仲裁之枪</t>
        </is>
      </c>
      <c r="O107" t="inlineStr">
        <is>
          <t>界律镇守之冠</t>
        </is>
      </c>
      <c r="P107" t="inlineStr">
        <is>
          <t>禁界踏破战靴</t>
        </is>
      </c>
      <c r="Q107" s="3" t="inlineStr">
        <is>
          <t>守界黄昏</t>
        </is>
      </c>
      <c r="R107" s="3" t="inlineStr">
        <is>
          <t>终极铠甲</t>
        </is>
      </c>
    </row>
    <row r="108">
      <c r="A108" t="n">
        <v>9</v>
      </c>
      <c r="B108" s="8" t="inlineStr">
        <is>
          <t>106</t>
        </is>
      </c>
      <c r="C108" s="11" t="inlineStr">
        <is>
          <t>BOSS-深渊魔灵</t>
        </is>
      </c>
      <c r="D108" s="8" t="inlineStr">
        <is>
          <t>boss</t>
        </is>
      </c>
      <c r="E108" s="8" t="n">
        <v>770</v>
      </c>
      <c r="F108" s="8" t="n">
        <v>4200</v>
      </c>
      <c r="G108" s="8" t="n">
        <v>900</v>
      </c>
      <c r="H108" s="8" t="n">
        <v>460</v>
      </c>
      <c r="I108" s="8" t="n">
        <v>2200</v>
      </c>
      <c r="J108" s="8" t="n">
        <v>550</v>
      </c>
      <c r="K108" s="8">
        <f>ROUND(H108/(H108+100),4)</f>
        <v/>
      </c>
      <c r="L108" s="8">
        <f>ROUND(I108*(H108+100)/100,2)</f>
        <v/>
      </c>
      <c r="M108" s="8">
        <f>ROUND(L108*G108,2)</f>
        <v/>
      </c>
      <c r="N108" t="inlineStr">
        <is>
          <t>幽幕灵织袍</t>
        </is>
      </c>
      <c r="O108" t="inlineStr">
        <is>
          <t>虚灵幽骸面罩</t>
        </is>
      </c>
      <c r="P108" t="inlineStr">
        <is>
          <t>魔灵残响步履</t>
        </is>
      </c>
      <c r="Q108" s="4" t="inlineStr">
        <is>
          <t>暴动魔核</t>
        </is>
      </c>
    </row>
    <row r="109">
      <c r="A109" t="n">
        <v>9</v>
      </c>
      <c r="B109" s="8" t="inlineStr">
        <is>
          <t>107</t>
        </is>
      </c>
      <c r="C109" s="11" t="inlineStr">
        <is>
          <t>BOSS-裂隙低语者</t>
        </is>
      </c>
      <c r="D109" s="8" t="inlineStr">
        <is>
          <t>boss</t>
        </is>
      </c>
      <c r="E109" s="8" t="n">
        <v>800</v>
      </c>
      <c r="F109" s="8" t="n">
        <v>4400</v>
      </c>
      <c r="G109" s="8" t="n">
        <v>900</v>
      </c>
      <c r="H109" s="8" t="n">
        <v>550</v>
      </c>
      <c r="I109" s="8" t="n">
        <v>3000</v>
      </c>
      <c r="J109" s="8" t="n">
        <v>320</v>
      </c>
      <c r="K109" s="8">
        <f>ROUND(H109/(H109+100),4)</f>
        <v/>
      </c>
      <c r="L109" s="8">
        <f>ROUND(I109*(H109+100)/100,2)</f>
        <v/>
      </c>
      <c r="M109" s="8">
        <f>ROUND(L109*G109,2)</f>
        <v/>
      </c>
      <c r="N109" t="inlineStr">
        <is>
          <t>耳语帷幕斗篷</t>
        </is>
      </c>
      <c r="O109" t="inlineStr">
        <is>
          <t>回响之盔</t>
        </is>
      </c>
      <c r="P109" s="4" t="inlineStr">
        <is>
          <t>流源穿越者</t>
        </is>
      </c>
      <c r="Q109" t="inlineStr">
        <is>
          <t>深渊回响之坠</t>
        </is>
      </c>
      <c r="R109" s="4" t="inlineStr">
        <is>
          <t>黑暗低语</t>
        </is>
      </c>
    </row>
    <row r="110">
      <c r="A110" t="n">
        <v>9</v>
      </c>
      <c r="B110" s="8" t="inlineStr">
        <is>
          <t>108</t>
        </is>
      </c>
      <c r="C110" s="11" t="inlineStr">
        <is>
          <t>BOSS-悲恸祭祀</t>
        </is>
      </c>
      <c r="D110" s="8" t="inlineStr">
        <is>
          <t>boss</t>
        </is>
      </c>
      <c r="E110" s="8" t="n">
        <v>850</v>
      </c>
      <c r="F110" s="8" t="n">
        <v>4600</v>
      </c>
      <c r="G110" s="8" t="n">
        <v>1000</v>
      </c>
      <c r="H110" s="8" t="n">
        <v>640</v>
      </c>
      <c r="I110" s="8" t="n">
        <v>2900</v>
      </c>
      <c r="J110" s="8" t="n">
        <v>350</v>
      </c>
      <c r="K110" s="8">
        <f>ROUND(H110/(H110+100),4)</f>
        <v/>
      </c>
      <c r="L110" s="8">
        <f>ROUND(I110*(H110+100)/100,2)</f>
        <v/>
      </c>
      <c r="M110" s="8">
        <f>ROUND(L110*G110,2)</f>
        <v/>
      </c>
      <c r="N110" t="inlineStr">
        <is>
          <t>咏叹之杖</t>
        </is>
      </c>
      <c r="O110" t="inlineStr">
        <is>
          <t>哀霜献祭法袍</t>
        </is>
      </c>
      <c r="P110" s="4" t="inlineStr">
        <is>
          <t>祭礼冠冕</t>
        </is>
      </c>
      <c r="Q110" s="3" t="inlineStr">
        <is>
          <t>哀悼胫甲</t>
        </is>
      </c>
      <c r="R110" s="3" t="inlineStr">
        <is>
          <t>悲鸣之环</t>
        </is>
      </c>
    </row>
    <row r="111">
      <c r="A111" t="n">
        <v>9</v>
      </c>
      <c r="B111" s="8" t="inlineStr">
        <is>
          <t>109</t>
        </is>
      </c>
      <c r="C111" s="11" t="inlineStr">
        <is>
          <t>BOSS-无底渊骸</t>
        </is>
      </c>
      <c r="D111" s="8" t="inlineStr">
        <is>
          <t>boss</t>
        </is>
      </c>
      <c r="E111" s="8" t="n">
        <v>900</v>
      </c>
      <c r="F111" s="8" t="n">
        <v>4800</v>
      </c>
      <c r="G111" s="8" t="n">
        <v>1600</v>
      </c>
      <c r="H111" s="8" t="n">
        <v>720</v>
      </c>
      <c r="I111" s="8" t="n">
        <v>2600</v>
      </c>
      <c r="J111" s="8" t="n">
        <v>220</v>
      </c>
      <c r="K111" s="8">
        <f>ROUND(H111/(H111+100),4)</f>
        <v/>
      </c>
      <c r="L111" s="8">
        <f>ROUND(I111*(H111+100)/100,2)</f>
        <v/>
      </c>
      <c r="M111" s="8">
        <f>ROUND(L111*G111,2)</f>
        <v/>
      </c>
      <c r="N111" s="3" t="inlineStr">
        <is>
          <t>深渊裂骨锤</t>
        </is>
      </c>
      <c r="O111" t="inlineStr">
        <is>
          <t>骸之王座甲</t>
        </is>
      </c>
      <c r="P111" t="inlineStr">
        <is>
          <t>深渊王冠</t>
        </is>
      </c>
      <c r="Q111" t="inlineStr">
        <is>
          <t>不灭之心</t>
        </is>
      </c>
    </row>
    <row r="112">
      <c r="A112" t="n">
        <v>9</v>
      </c>
      <c r="B112" s="8" t="inlineStr">
        <is>
          <t>110</t>
        </is>
      </c>
      <c r="C112" s="11" t="inlineStr">
        <is>
          <t>隐秘-深渊魔蛟王</t>
        </is>
      </c>
      <c r="D112" s="8" t="inlineStr">
        <is>
          <t>boss</t>
        </is>
      </c>
      <c r="E112" s="8" t="n">
        <v>20000</v>
      </c>
      <c r="F112" s="8" t="n">
        <v>20000</v>
      </c>
      <c r="G112" s="8" t="n">
        <v>1450</v>
      </c>
      <c r="H112" s="8" t="n">
        <v>980</v>
      </c>
      <c r="I112" s="8" t="n">
        <v>4000</v>
      </c>
      <c r="J112" s="8" t="n">
        <v>500</v>
      </c>
      <c r="K112" s="8">
        <f>ROUND(H112/(H112+100),4)</f>
        <v/>
      </c>
      <c r="L112" s="8">
        <f>ROUND(I112*(H112+100)/100,2)</f>
        <v/>
      </c>
      <c r="M112" s="8">
        <f>ROUND(L112*G112,2)</f>
        <v/>
      </c>
      <c r="N112" t="inlineStr">
        <is>
          <t>隐秘-亚龙冠冕</t>
        </is>
      </c>
      <c r="O112" s="3" t="inlineStr">
        <is>
          <t>隐秘-噬浪鳞靴</t>
        </is>
      </c>
    </row>
    <row r="113">
      <c r="A113" t="inlineStr">
        <is>
          <t>10血沸盆地</t>
        </is>
      </c>
      <c r="B113" s="8" t="inlineStr">
        <is>
          <t>111</t>
        </is>
      </c>
      <c r="C113" s="9" t="inlineStr">
        <is>
          <t>沸血蜥蜴</t>
        </is>
      </c>
      <c r="D113" s="8" t="inlineStr">
        <is>
          <t>normal</t>
        </is>
      </c>
      <c r="E113" s="8" t="n">
        <v>220</v>
      </c>
      <c r="F113" s="8" t="n">
        <v>520</v>
      </c>
      <c r="G113" s="8" t="n">
        <v>950</v>
      </c>
      <c r="H113" s="8" t="n">
        <v>500</v>
      </c>
      <c r="I113" s="8" t="n">
        <v>1100</v>
      </c>
      <c r="J113" s="8" t="n">
        <v>560</v>
      </c>
      <c r="K113" s="8">
        <f>ROUND(H113/(H113+100),4)</f>
        <v/>
      </c>
      <c r="L113" s="8">
        <f>ROUND(I113*(H113+100)/100,2)</f>
        <v/>
      </c>
      <c r="M113" s="8">
        <f>ROUND(L113*G113,2)</f>
        <v/>
      </c>
    </row>
    <row r="114">
      <c r="A114" t="n">
        <v>10</v>
      </c>
      <c r="B114" s="8" t="inlineStr">
        <is>
          <t>112</t>
        </is>
      </c>
      <c r="C114" s="9" t="inlineStr">
        <is>
          <t>铜背巨猿</t>
        </is>
      </c>
      <c r="D114" s="8" t="inlineStr">
        <is>
          <t>normal</t>
        </is>
      </c>
      <c r="E114" s="8" t="n">
        <v>235</v>
      </c>
      <c r="F114" s="8" t="n">
        <v>540</v>
      </c>
      <c r="G114" s="8" t="n">
        <v>850</v>
      </c>
      <c r="H114" s="8" t="n">
        <v>680</v>
      </c>
      <c r="I114" s="8" t="n">
        <v>1300</v>
      </c>
      <c r="J114" s="8" t="n">
        <v>480</v>
      </c>
      <c r="K114" s="8">
        <f>ROUND(H114/(H114+100),4)</f>
        <v/>
      </c>
      <c r="L114" s="8">
        <f>ROUND(I114*(H114+100)/100,2)</f>
        <v/>
      </c>
      <c r="M114" s="8">
        <f>ROUND(L114*G114,2)</f>
        <v/>
      </c>
    </row>
    <row r="115">
      <c r="A115" t="n">
        <v>10</v>
      </c>
      <c r="B115" s="8" t="inlineStr">
        <is>
          <t>113</t>
        </is>
      </c>
      <c r="C115" s="9" t="inlineStr">
        <is>
          <t>刺鬃狂猪</t>
        </is>
      </c>
      <c r="D115" s="8" t="inlineStr">
        <is>
          <t>normal</t>
        </is>
      </c>
      <c r="E115" s="8" t="n">
        <v>195</v>
      </c>
      <c r="F115" s="8" t="n">
        <v>490</v>
      </c>
      <c r="G115" s="8" t="n">
        <v>820</v>
      </c>
      <c r="H115" s="8" t="n">
        <v>600</v>
      </c>
      <c r="I115" s="8" t="n">
        <v>1250</v>
      </c>
      <c r="J115" s="8" t="n">
        <v>500</v>
      </c>
      <c r="K115" s="8">
        <f>ROUND(H115/(H115+100),4)</f>
        <v/>
      </c>
      <c r="L115" s="8">
        <f>ROUND(I115*(H115+100)/100,2)</f>
        <v/>
      </c>
      <c r="M115" s="8">
        <f>ROUND(L115*G115,2)</f>
        <v/>
      </c>
    </row>
    <row r="116">
      <c r="A116" t="n">
        <v>10</v>
      </c>
      <c r="B116" s="8" t="inlineStr">
        <is>
          <t>114</t>
        </is>
      </c>
      <c r="C116" s="9" t="inlineStr">
        <is>
          <t>赤瞳石狼</t>
        </is>
      </c>
      <c r="D116" s="8" t="inlineStr">
        <is>
          <t>normal</t>
        </is>
      </c>
      <c r="E116" s="8" t="n">
        <v>250</v>
      </c>
      <c r="F116" s="8" t="n">
        <v>500</v>
      </c>
      <c r="G116" s="8" t="n">
        <v>800</v>
      </c>
      <c r="H116" s="8" t="n">
        <v>590</v>
      </c>
      <c r="I116" s="8" t="n">
        <v>1180</v>
      </c>
      <c r="J116" s="8" t="n">
        <v>520</v>
      </c>
      <c r="K116" s="8">
        <f>ROUND(H116/(H116+100),4)</f>
        <v/>
      </c>
      <c r="L116" s="8">
        <f>ROUND(I116*(H116+100)/100,2)</f>
        <v/>
      </c>
      <c r="M116" s="8">
        <f>ROUND(L116*G116,2)</f>
        <v/>
      </c>
    </row>
    <row r="117">
      <c r="A117" t="n">
        <v>10</v>
      </c>
      <c r="B117" s="8" t="inlineStr">
        <is>
          <t>115</t>
        </is>
      </c>
      <c r="C117" s="9" t="inlineStr">
        <is>
          <t>熔孢菌兽</t>
        </is>
      </c>
      <c r="D117" s="8" t="inlineStr">
        <is>
          <t>normal</t>
        </is>
      </c>
      <c r="E117" s="8" t="n">
        <v>200</v>
      </c>
      <c r="F117" s="8" t="n">
        <v>515</v>
      </c>
      <c r="G117" s="8" t="n">
        <v>4000</v>
      </c>
      <c r="H117" s="8" t="n">
        <v>100</v>
      </c>
      <c r="I117" s="8" t="n">
        <v>1000</v>
      </c>
      <c r="J117" s="8" t="n">
        <v>720</v>
      </c>
      <c r="K117" s="8">
        <f>ROUND(H117/(H117+100),4)</f>
        <v/>
      </c>
      <c r="L117" s="8">
        <f>ROUND(I117*(H117+100)/100,2)</f>
        <v/>
      </c>
      <c r="M117" s="8">
        <f>ROUND(L117*G117,2)</f>
        <v/>
      </c>
    </row>
    <row r="118">
      <c r="A118" t="n">
        <v>10</v>
      </c>
      <c r="B118" s="8" t="inlineStr">
        <is>
          <t>116</t>
        </is>
      </c>
      <c r="C118" s="10" t="inlineStr">
        <is>
          <t>裂甲王犀</t>
        </is>
      </c>
      <c r="D118" s="8" t="inlineStr">
        <is>
          <t>elite</t>
        </is>
      </c>
      <c r="E118" s="8" t="n">
        <v>450</v>
      </c>
      <c r="F118" s="8" t="n">
        <v>2100</v>
      </c>
      <c r="G118" s="8" t="n">
        <v>1200</v>
      </c>
      <c r="H118" s="8" t="n">
        <v>700</v>
      </c>
      <c r="I118" s="8" t="n">
        <v>1600</v>
      </c>
      <c r="J118" s="8" t="n">
        <v>500</v>
      </c>
      <c r="K118" s="8">
        <f>ROUND(H118/(H118+100),4)</f>
        <v/>
      </c>
      <c r="L118" s="8">
        <f>ROUND(I118*(H118+100)/100,2)</f>
        <v/>
      </c>
      <c r="M118" s="8">
        <f>ROUND(L118*G118,2)</f>
        <v/>
      </c>
    </row>
    <row r="119">
      <c r="A119" t="n">
        <v>10</v>
      </c>
      <c r="B119" s="8" t="inlineStr">
        <is>
          <t>117</t>
        </is>
      </c>
      <c r="C119" s="10" t="inlineStr">
        <is>
          <t>死亡菌株</t>
        </is>
      </c>
      <c r="D119" s="8" t="inlineStr">
        <is>
          <t>elite</t>
        </is>
      </c>
      <c r="E119" s="8" t="n">
        <v>500</v>
      </c>
      <c r="F119" s="8" t="n">
        <v>2400</v>
      </c>
      <c r="G119" s="8" t="n">
        <v>5500</v>
      </c>
      <c r="H119" s="8" t="n">
        <v>200</v>
      </c>
      <c r="I119" s="8" t="n">
        <v>1200</v>
      </c>
      <c r="J119" s="8" t="n">
        <v>800</v>
      </c>
      <c r="K119" s="8">
        <f>ROUND(H119/(H119+100),4)</f>
        <v/>
      </c>
      <c r="L119" s="8">
        <f>ROUND(I119*(H119+100)/100,2)</f>
        <v/>
      </c>
      <c r="M119" s="8">
        <f>ROUND(L119*G119,2)</f>
        <v/>
      </c>
    </row>
    <row r="120">
      <c r="A120" t="n">
        <v>10</v>
      </c>
      <c r="B120" s="8" t="inlineStr">
        <is>
          <t>118</t>
        </is>
      </c>
      <c r="C120" s="10" t="inlineStr">
        <is>
          <t>熔脉王蛇</t>
        </is>
      </c>
      <c r="D120" s="8" t="inlineStr">
        <is>
          <t>elite</t>
        </is>
      </c>
      <c r="E120" s="8" t="n">
        <v>510</v>
      </c>
      <c r="F120" s="8" t="n">
        <v>1800</v>
      </c>
      <c r="G120" s="8" t="n">
        <v>1200</v>
      </c>
      <c r="H120" s="8" t="n">
        <v>540</v>
      </c>
      <c r="I120" s="8" t="n">
        <v>1400</v>
      </c>
      <c r="J120" s="8" t="n">
        <v>620</v>
      </c>
      <c r="K120" s="8">
        <f>ROUND(H120/(H120+100),4)</f>
        <v/>
      </c>
      <c r="L120" s="8">
        <f>ROUND(I120*(H120+100)/100,2)</f>
        <v/>
      </c>
      <c r="M120" s="8">
        <f>ROUND(L120*G120,2)</f>
        <v/>
      </c>
    </row>
    <row r="121">
      <c r="A121" t="n">
        <v>10</v>
      </c>
      <c r="B121" s="8" t="inlineStr">
        <is>
          <t>119</t>
        </is>
      </c>
      <c r="C121" s="10" t="inlineStr">
        <is>
          <t>血颅督军</t>
        </is>
      </c>
      <c r="D121" s="8" t="inlineStr">
        <is>
          <t>elite</t>
        </is>
      </c>
      <c r="E121" s="8" t="n">
        <v>600</v>
      </c>
      <c r="F121" s="8" t="n">
        <v>2200</v>
      </c>
      <c r="G121" s="8" t="n">
        <v>1500</v>
      </c>
      <c r="H121" s="8" t="n">
        <v>620</v>
      </c>
      <c r="I121" s="8" t="n">
        <v>1500</v>
      </c>
      <c r="J121" s="8" t="n">
        <v>600</v>
      </c>
      <c r="K121" s="8">
        <f>ROUND(H121/(H121+100),4)</f>
        <v/>
      </c>
      <c r="L121" s="8">
        <f>ROUND(I121*(H121+100)/100,2)</f>
        <v/>
      </c>
      <c r="M121" s="8">
        <f>ROUND(L121*G121,2)</f>
        <v/>
      </c>
    </row>
    <row r="122">
      <c r="A122" t="n">
        <v>10</v>
      </c>
      <c r="B122" s="8" t="inlineStr">
        <is>
          <t>120</t>
        </is>
      </c>
      <c r="C122" s="11" t="inlineStr">
        <is>
          <t>BOSS-沸血领主</t>
        </is>
      </c>
      <c r="D122" s="8" t="inlineStr">
        <is>
          <t>boss</t>
        </is>
      </c>
      <c r="E122" s="8" t="n">
        <v>920</v>
      </c>
      <c r="F122" s="8" t="n">
        <v>5500</v>
      </c>
      <c r="G122" s="8" t="n">
        <v>1800</v>
      </c>
      <c r="H122" s="8" t="n">
        <v>820</v>
      </c>
      <c r="I122" s="8" t="n">
        <v>2400</v>
      </c>
      <c r="J122" s="8" t="n">
        <v>600</v>
      </c>
      <c r="K122" s="8">
        <f>ROUND(H122/(H122+100),4)</f>
        <v/>
      </c>
      <c r="L122" s="8">
        <f>ROUND(I122*(H122+100)/100,2)</f>
        <v/>
      </c>
      <c r="M122" s="8">
        <f>ROUND(L122*G122,2)</f>
        <v/>
      </c>
      <c r="N122" t="inlineStr">
        <is>
          <t>赤沸怒啸战盔</t>
        </is>
      </c>
      <c r="O122" t="inlineStr">
        <is>
          <t>沸血战铠</t>
        </is>
      </c>
      <c r="P122" t="inlineStr">
        <is>
          <t>沸血碎狱巨斧</t>
        </is>
      </c>
      <c r="Q122" t="inlineStr">
        <is>
          <t>沸血践踏者</t>
        </is>
      </c>
      <c r="R122" s="12" t="inlineStr">
        <is>
          <t>狂怒血晶</t>
        </is>
      </c>
    </row>
    <row r="123">
      <c r="A123" t="n">
        <v>10</v>
      </c>
      <c r="B123" s="8" t="inlineStr">
        <is>
          <t>121</t>
        </is>
      </c>
      <c r="C123" s="11" t="inlineStr">
        <is>
          <t>BOSS-血棘花后</t>
        </is>
      </c>
      <c r="D123" s="8" t="inlineStr">
        <is>
          <t>boss</t>
        </is>
      </c>
      <c r="E123" s="8" t="n">
        <v>940</v>
      </c>
      <c r="F123" s="8" t="n">
        <v>5700</v>
      </c>
      <c r="G123" s="8" t="n">
        <v>2100</v>
      </c>
      <c r="H123" s="8" t="n">
        <v>690</v>
      </c>
      <c r="I123" s="8" t="n">
        <v>2260</v>
      </c>
      <c r="J123" s="8" t="n">
        <v>400</v>
      </c>
      <c r="K123" s="8">
        <f>ROUND(H123/(H123+100),4)</f>
        <v/>
      </c>
      <c r="L123" s="8">
        <f>ROUND(I123*(H123+100)/100,2)</f>
        <v/>
      </c>
      <c r="M123" s="8">
        <f>ROUND(L123*G123,2)</f>
        <v/>
      </c>
      <c r="N123" t="inlineStr">
        <is>
          <t>荆棘花冠</t>
        </is>
      </c>
      <c r="O123" t="inlineStr">
        <is>
          <t>血棘魔藤甲</t>
        </is>
      </c>
      <c r="P123" t="inlineStr">
        <is>
          <t>绽放之刺</t>
        </is>
      </c>
      <c r="Q123" t="inlineStr">
        <is>
          <t>花皇藤靴</t>
        </is>
      </c>
      <c r="R123" s="12" t="inlineStr">
        <is>
          <t>泣血花蕊之坠</t>
        </is>
      </c>
    </row>
    <row r="124">
      <c r="A124" t="n">
        <v>10</v>
      </c>
      <c r="B124" s="8" t="inlineStr">
        <is>
          <t>122</t>
        </is>
      </c>
      <c r="C124" s="11" t="inlineStr">
        <is>
          <t>BOSS-血翼蝠王</t>
        </is>
      </c>
      <c r="D124" s="8" t="inlineStr">
        <is>
          <t>boss</t>
        </is>
      </c>
      <c r="E124" s="8" t="n">
        <v>950</v>
      </c>
      <c r="F124" s="8" t="n">
        <v>5900</v>
      </c>
      <c r="G124" s="8" t="n">
        <v>2450</v>
      </c>
      <c r="H124" s="8" t="n">
        <v>730</v>
      </c>
      <c r="I124" s="8" t="n">
        <v>2150</v>
      </c>
      <c r="J124" s="8" t="n">
        <v>700</v>
      </c>
      <c r="K124" s="8">
        <f>ROUND(H124/(H124+100),4)</f>
        <v/>
      </c>
      <c r="L124" s="8">
        <f>ROUND(I124*(H124+100)/100,2)</f>
        <v/>
      </c>
      <c r="M124" s="8">
        <f>ROUND(L124*G124,2)</f>
        <v/>
      </c>
      <c r="N124" t="inlineStr">
        <is>
          <t>蝠王啸夜盔</t>
        </is>
      </c>
      <c r="O124" t="inlineStr">
        <is>
          <t>血蝠翼影甲</t>
        </is>
      </c>
      <c r="P124" t="inlineStr">
        <is>
          <t>蝠啸裂空镰</t>
        </is>
      </c>
      <c r="Q124" t="inlineStr">
        <is>
          <t>夜蝠追猎履</t>
        </is>
      </c>
      <c r="R124" s="12" t="inlineStr">
        <is>
          <t>饮血之契</t>
        </is>
      </c>
    </row>
    <row r="125">
      <c r="A125" t="n">
        <v>10</v>
      </c>
      <c r="B125" s="8" t="inlineStr">
        <is>
          <t>123</t>
        </is>
      </c>
      <c r="C125" s="11" t="inlineStr">
        <is>
          <t>BOSS-暴食之喉</t>
        </is>
      </c>
      <c r="D125" s="8" t="inlineStr">
        <is>
          <t>boss</t>
        </is>
      </c>
      <c r="E125" s="8" t="n">
        <v>1000</v>
      </c>
      <c r="F125" s="8" t="n">
        <v>6100</v>
      </c>
      <c r="G125" s="8" t="n">
        <v>2700</v>
      </c>
      <c r="H125" s="8" t="n">
        <v>765</v>
      </c>
      <c r="I125" s="8" t="n">
        <v>2700</v>
      </c>
      <c r="J125" s="8" t="n">
        <v>500</v>
      </c>
      <c r="K125" s="8">
        <f>ROUND(H125/(H125+100),4)</f>
        <v/>
      </c>
      <c r="L125" s="8">
        <f>ROUND(I125*(H125+100)/100,2)</f>
        <v/>
      </c>
      <c r="M125" s="8">
        <f>ROUND(L125*G125,2)</f>
        <v/>
      </c>
      <c r="N125" t="inlineStr">
        <is>
          <t>无尽喉冠</t>
        </is>
      </c>
      <c r="O125" t="inlineStr">
        <is>
          <t>无尽吞噬甲</t>
        </is>
      </c>
      <c r="P125" t="inlineStr">
        <is>
          <t>噬骨魔铲</t>
        </is>
      </c>
      <c r="Q125" s="3" t="inlineStr">
        <is>
          <t>暴食追猎者</t>
        </is>
      </c>
      <c r="R125" s="13" t="inlineStr">
        <is>
          <t>永饥之环</t>
        </is>
      </c>
    </row>
    <row r="126">
      <c r="A126" t="n">
        <v>10</v>
      </c>
      <c r="B126" s="8" t="inlineStr">
        <is>
          <t>124</t>
        </is>
      </c>
      <c r="C126" s="11" t="inlineStr">
        <is>
          <t>BOSS-裂地神象</t>
        </is>
      </c>
      <c r="D126" s="8" t="inlineStr">
        <is>
          <t>boss</t>
        </is>
      </c>
      <c r="E126" s="8" t="n">
        <v>1100</v>
      </c>
      <c r="F126" s="8" t="n">
        <v>6500</v>
      </c>
      <c r="G126" s="8" t="n">
        <v>2550</v>
      </c>
      <c r="H126" s="8" t="n">
        <v>900</v>
      </c>
      <c r="I126" s="8" t="n">
        <v>3200</v>
      </c>
      <c r="J126" s="8" t="n">
        <v>475</v>
      </c>
      <c r="K126" s="8">
        <f>ROUND(H126/(H126+100),4)</f>
        <v/>
      </c>
      <c r="L126" s="8">
        <f>ROUND(I126*(H126+100)/100,2)</f>
        <v/>
      </c>
      <c r="M126" s="8">
        <f>ROUND(L126*G126,2)</f>
        <v/>
      </c>
      <c r="N126" t="inlineStr">
        <is>
          <t>撼岳战盔</t>
        </is>
      </c>
      <c r="O126" t="inlineStr">
        <is>
          <t>地裂蛮神铠</t>
        </is>
      </c>
      <c r="P126" t="inlineStr">
        <is>
          <t>裂地撼山杵</t>
        </is>
      </c>
      <c r="Q126" s="3" t="inlineStr">
        <is>
          <t>崩裂行者</t>
        </is>
      </c>
      <c r="R126" s="12" t="inlineStr">
        <is>
          <t>大地之心</t>
        </is>
      </c>
    </row>
    <row r="127">
      <c r="A127" t="n">
        <v>10</v>
      </c>
      <c r="B127" s="8" t="inlineStr">
        <is>
          <t>125</t>
        </is>
      </c>
      <c r="C127" s="11" t="inlineStr">
        <is>
          <t>隐秘-怒鳞蛇皇</t>
        </is>
      </c>
      <c r="D127" s="8" t="inlineStr">
        <is>
          <t>boss</t>
        </is>
      </c>
      <c r="E127" s="8" t="n">
        <v>22500</v>
      </c>
      <c r="F127" s="8" t="n">
        <v>22500</v>
      </c>
      <c r="G127" s="8" t="n">
        <v>2600</v>
      </c>
      <c r="H127" s="8" t="n">
        <v>1200</v>
      </c>
      <c r="I127" s="8" t="n">
        <v>5000</v>
      </c>
      <c r="J127" s="8" t="n">
        <v>650</v>
      </c>
      <c r="K127" s="8">
        <f>ROUND(H127/(H127+100),4)</f>
        <v/>
      </c>
      <c r="L127" s="8">
        <f>ROUND(I127*(H127+100)/100,2)</f>
        <v/>
      </c>
      <c r="M127" s="8">
        <f>ROUND(L127*G127,2)</f>
        <v/>
      </c>
      <c r="N127" t="inlineStr">
        <is>
          <t>隐秘-蛇皇之怒</t>
        </is>
      </c>
    </row>
    <row r="128">
      <c r="A128" t="n">
        <v>10</v>
      </c>
      <c r="B128" s="8" t="inlineStr">
        <is>
          <t>126</t>
        </is>
      </c>
      <c r="C128" s="11" t="inlineStr">
        <is>
          <t>隐秘-碧眼玉麒麟</t>
        </is>
      </c>
      <c r="D128" s="8" t="inlineStr">
        <is>
          <t>boss</t>
        </is>
      </c>
      <c r="E128" s="8" t="n">
        <v>22500</v>
      </c>
      <c r="F128" s="8" t="n">
        <v>22500</v>
      </c>
      <c r="G128" s="8" t="n">
        <v>3000</v>
      </c>
      <c r="H128" s="8" t="n">
        <v>1300</v>
      </c>
      <c r="I128" s="8" t="n">
        <v>6500</v>
      </c>
      <c r="J128" s="8" t="n">
        <v>700</v>
      </c>
      <c r="K128" s="8">
        <f>ROUND(H128/(H128+100),4)</f>
        <v/>
      </c>
      <c r="L128" s="8">
        <f>ROUND(I128*(H128+100)/100,2)</f>
        <v/>
      </c>
      <c r="M128" s="8">
        <f>ROUND(L128*G128,2)</f>
        <v/>
      </c>
      <c r="N128" t="inlineStr">
        <is>
          <t>隐秘-碧玉天青铠</t>
        </is>
      </c>
      <c r="O128" t="inlineStr">
        <is>
          <t>隐秘-长明圣玉</t>
        </is>
      </c>
    </row>
    <row r="129">
      <c r="A129" t="inlineStr">
        <is>
          <t>11死亡之路</t>
        </is>
      </c>
      <c r="B129" s="8" t="n">
        <v>127</v>
      </c>
      <c r="C129" s="9" t="inlineStr">
        <is>
          <t>噬铁巨蚁</t>
        </is>
      </c>
      <c r="D129" s="8" t="inlineStr">
        <is>
          <t>normal</t>
        </is>
      </c>
      <c r="E129" s="8" t="n">
        <v>225</v>
      </c>
      <c r="F129" s="8" t="n">
        <v>675</v>
      </c>
      <c r="G129" s="8" t="n">
        <v>2000</v>
      </c>
      <c r="H129" s="8" t="n">
        <v>750</v>
      </c>
      <c r="I129" s="8" t="n">
        <v>2000</v>
      </c>
      <c r="J129" s="8" t="n">
        <v>500</v>
      </c>
      <c r="K129" s="8" t="n">
        <v>0.8824</v>
      </c>
      <c r="L129" s="8" t="n">
        <v>17000</v>
      </c>
      <c r="M129" s="8" t="n">
        <v>34000000</v>
      </c>
    </row>
    <row r="130">
      <c r="A130" t="n">
        <v>11</v>
      </c>
      <c r="B130" s="8" t="n">
        <v>128</v>
      </c>
      <c r="C130" s="9" t="inlineStr">
        <is>
          <t>枯藤猎手</t>
        </is>
      </c>
      <c r="D130" s="8" t="inlineStr">
        <is>
          <t>normal</t>
        </is>
      </c>
      <c r="E130" s="8" t="n">
        <v>240</v>
      </c>
      <c r="F130" s="8" t="n">
        <v>700</v>
      </c>
      <c r="G130" s="8" t="n">
        <v>2400</v>
      </c>
      <c r="H130" s="8" t="n">
        <v>650</v>
      </c>
      <c r="I130" s="8" t="n">
        <v>1900</v>
      </c>
      <c r="J130" s="8" t="n">
        <v>620</v>
      </c>
      <c r="K130" s="8" t="n">
        <v>0.8667</v>
      </c>
      <c r="L130" s="8" t="n">
        <v>14250</v>
      </c>
      <c r="M130" s="8" t="n">
        <v>34200000</v>
      </c>
    </row>
    <row r="131">
      <c r="A131" t="n">
        <v>11</v>
      </c>
      <c r="B131" s="8" t="n">
        <v>129</v>
      </c>
      <c r="C131" s="9" t="inlineStr">
        <is>
          <t>刺脊地龙</t>
        </is>
      </c>
      <c r="D131" s="8" t="inlineStr">
        <is>
          <t>normal</t>
        </is>
      </c>
      <c r="E131" s="8" t="n">
        <v>210</v>
      </c>
      <c r="F131" s="8" t="n">
        <v>640</v>
      </c>
      <c r="G131" s="8" t="n">
        <v>2200</v>
      </c>
      <c r="H131" s="8" t="n">
        <v>800</v>
      </c>
      <c r="I131" s="8" t="n">
        <v>1900</v>
      </c>
      <c r="J131" s="8" t="n">
        <v>450</v>
      </c>
      <c r="K131" s="8" t="n">
        <v>0.8889</v>
      </c>
      <c r="L131" s="8" t="n">
        <v>17100</v>
      </c>
      <c r="M131" s="8" t="n">
        <v>37620000</v>
      </c>
    </row>
    <row r="132">
      <c r="A132" t="n">
        <v>11</v>
      </c>
      <c r="B132" s="8" t="n">
        <v>130</v>
      </c>
      <c r="C132" s="9" t="inlineStr">
        <is>
          <t>邪恶浮游体</t>
        </is>
      </c>
      <c r="D132" s="8" t="inlineStr">
        <is>
          <t>normal</t>
        </is>
      </c>
      <c r="E132" s="8" t="n">
        <v>255</v>
      </c>
      <c r="F132" s="8" t="n">
        <v>650</v>
      </c>
      <c r="G132" s="8" t="n">
        <v>3000</v>
      </c>
      <c r="H132" s="8" t="n">
        <v>400</v>
      </c>
      <c r="I132" s="8" t="n">
        <v>3000</v>
      </c>
      <c r="J132" s="8" t="n">
        <v>750</v>
      </c>
      <c r="K132" s="8" t="n">
        <v>0.8</v>
      </c>
      <c r="L132" s="8" t="n">
        <v>15000</v>
      </c>
      <c r="M132" s="8" t="n">
        <v>45000000</v>
      </c>
    </row>
    <row r="133">
      <c r="A133" t="n">
        <v>11</v>
      </c>
      <c r="B133" s="8" t="n">
        <v>131</v>
      </c>
      <c r="C133" s="9" t="inlineStr">
        <is>
          <t>血喉鬣狗</t>
        </is>
      </c>
      <c r="D133" s="8" t="inlineStr">
        <is>
          <t>normal</t>
        </is>
      </c>
      <c r="E133" s="8" t="n">
        <v>215</v>
      </c>
      <c r="F133" s="8" t="n">
        <v>670</v>
      </c>
      <c r="G133" s="8" t="n">
        <v>2150</v>
      </c>
      <c r="H133" s="8" t="n">
        <v>550</v>
      </c>
      <c r="I133" s="8" t="n">
        <v>2200</v>
      </c>
      <c r="J133" s="8" t="n">
        <v>700</v>
      </c>
      <c r="K133" s="8" t="n">
        <v>0.8462</v>
      </c>
      <c r="L133" s="8" t="n">
        <v>14300</v>
      </c>
      <c r="M133" s="8" t="n">
        <v>30745000</v>
      </c>
    </row>
    <row r="134">
      <c r="A134" t="n">
        <v>11</v>
      </c>
      <c r="B134" s="8" t="n">
        <v>132</v>
      </c>
      <c r="C134" s="10" t="inlineStr">
        <is>
          <t>铁颚蚁后</t>
        </is>
      </c>
      <c r="D134" s="8" t="inlineStr">
        <is>
          <t>elite</t>
        </is>
      </c>
      <c r="E134" s="8" t="n">
        <v>505</v>
      </c>
      <c r="F134" s="8" t="n">
        <v>2730</v>
      </c>
      <c r="G134" s="8" t="n">
        <v>2800</v>
      </c>
      <c r="H134" s="8" t="n">
        <v>850</v>
      </c>
      <c r="I134" s="8" t="n">
        <v>2500</v>
      </c>
      <c r="J134" s="8" t="n">
        <v>700</v>
      </c>
      <c r="K134" s="8" t="n">
        <v>0.8947000000000001</v>
      </c>
      <c r="L134" s="8" t="n">
        <v>23750</v>
      </c>
      <c r="M134" s="8" t="n">
        <v>66500000</v>
      </c>
    </row>
    <row r="135">
      <c r="A135" t="n">
        <v>11</v>
      </c>
      <c r="B135" s="8" t="n">
        <v>133</v>
      </c>
      <c r="C135" s="10" t="inlineStr">
        <is>
          <t>腐棘树灵</t>
        </is>
      </c>
      <c r="D135" s="8" t="inlineStr">
        <is>
          <t>elite</t>
        </is>
      </c>
      <c r="E135" s="8" t="n">
        <v>535</v>
      </c>
      <c r="F135" s="8" t="n">
        <v>3120</v>
      </c>
      <c r="G135" s="8" t="n">
        <v>2500</v>
      </c>
      <c r="H135" s="8" t="n">
        <v>600</v>
      </c>
      <c r="I135" s="8" t="n">
        <v>2400</v>
      </c>
      <c r="J135" s="8" t="n">
        <v>660</v>
      </c>
      <c r="K135" s="8" t="n">
        <v>0.8571</v>
      </c>
      <c r="L135" s="8" t="n">
        <v>16800</v>
      </c>
      <c r="M135" s="8" t="n">
        <v>42000000</v>
      </c>
    </row>
    <row r="136">
      <c r="A136" t="n">
        <v>11</v>
      </c>
      <c r="B136" s="8" t="n">
        <v>134</v>
      </c>
      <c r="C136" s="10" t="inlineStr">
        <is>
          <t>熔壳地龙</t>
        </is>
      </c>
      <c r="D136" s="8" t="inlineStr">
        <is>
          <t>elite</t>
        </is>
      </c>
      <c r="E136" s="8" t="n">
        <v>540</v>
      </c>
      <c r="F136" s="8" t="n">
        <v>2340</v>
      </c>
      <c r="G136" s="8" t="n">
        <v>2600</v>
      </c>
      <c r="H136" s="8" t="n">
        <v>900</v>
      </c>
      <c r="I136" s="8" t="n">
        <v>2800</v>
      </c>
      <c r="J136" s="8" t="n">
        <v>650</v>
      </c>
      <c r="K136" s="8" t="n">
        <v>0.9</v>
      </c>
      <c r="L136" s="8" t="n">
        <v>28000</v>
      </c>
      <c r="M136" s="8" t="n">
        <v>72800000</v>
      </c>
    </row>
    <row r="137">
      <c r="A137" t="n">
        <v>11</v>
      </c>
      <c r="B137" s="8" t="n">
        <v>135</v>
      </c>
      <c r="C137" s="10" t="inlineStr">
        <is>
          <t>蛊虫战士</t>
        </is>
      </c>
      <c r="D137" s="8" t="inlineStr">
        <is>
          <t>elite</t>
        </is>
      </c>
      <c r="E137" s="8" t="n">
        <v>560</v>
      </c>
      <c r="F137" s="8" t="n">
        <v>2860</v>
      </c>
      <c r="G137" s="8" t="n">
        <v>6500</v>
      </c>
      <c r="H137" s="8" t="n">
        <v>300</v>
      </c>
      <c r="I137" s="8" t="n">
        <v>5000</v>
      </c>
      <c r="J137" s="8" t="n">
        <v>800</v>
      </c>
      <c r="K137" s="8" t="n">
        <v>0.75</v>
      </c>
      <c r="L137" s="8" t="n">
        <v>20000</v>
      </c>
      <c r="M137" s="8" t="n">
        <v>130000000</v>
      </c>
    </row>
    <row r="138">
      <c r="A138" t="n">
        <v>11</v>
      </c>
      <c r="B138" s="8" t="n">
        <v>136</v>
      </c>
      <c r="C138" s="10" t="inlineStr">
        <is>
          <t>獠牙首领</t>
        </is>
      </c>
      <c r="D138" s="8" t="inlineStr">
        <is>
          <t>elite</t>
        </is>
      </c>
      <c r="E138" s="8" t="n">
        <v>510</v>
      </c>
      <c r="F138" s="8" t="n">
        <v>2600</v>
      </c>
      <c r="G138" s="8" t="n">
        <v>3000</v>
      </c>
      <c r="H138" s="8" t="n">
        <v>650</v>
      </c>
      <c r="I138" s="8" t="n">
        <v>3200</v>
      </c>
      <c r="J138" s="8" t="n">
        <v>750</v>
      </c>
      <c r="K138" s="8" t="n">
        <v>0.8667</v>
      </c>
      <c r="L138" s="8" t="n">
        <v>24000</v>
      </c>
      <c r="M138" s="8" t="n">
        <v>72000000</v>
      </c>
    </row>
    <row r="139">
      <c r="A139" t="n">
        <v>11</v>
      </c>
      <c r="B139" s="8" t="n">
        <v>137</v>
      </c>
      <c r="C139" s="11" t="inlineStr">
        <is>
          <t>BOSS-杀戮巨像</t>
        </is>
      </c>
      <c r="D139" s="8" t="inlineStr">
        <is>
          <t>boss</t>
        </is>
      </c>
      <c r="E139" s="8" t="n">
        <v>1000</v>
      </c>
      <c r="F139" s="8" t="n">
        <v>7700</v>
      </c>
      <c r="G139" s="8" t="n">
        <v>4000</v>
      </c>
      <c r="H139" s="8" t="n">
        <v>980</v>
      </c>
      <c r="I139" s="8" t="n">
        <v>3600</v>
      </c>
      <c r="J139" s="8" t="n">
        <v>600</v>
      </c>
      <c r="K139" s="8" t="n">
        <v>0.9074</v>
      </c>
      <c r="L139" s="8" t="n">
        <v>38880</v>
      </c>
      <c r="M139" s="8" t="n">
        <v>155520000</v>
      </c>
    </row>
    <row r="140">
      <c r="A140" t="n">
        <v>11</v>
      </c>
      <c r="B140" s="8" t="n">
        <v>138</v>
      </c>
      <c r="C140" s="11" t="inlineStr">
        <is>
          <t>BOSS-血沼肉山</t>
        </is>
      </c>
      <c r="D140" s="8" t="inlineStr">
        <is>
          <t>boss</t>
        </is>
      </c>
      <c r="E140" s="8" t="n">
        <v>1100</v>
      </c>
      <c r="F140" s="8" t="n">
        <v>8000</v>
      </c>
      <c r="G140" s="8" t="n">
        <v>4500</v>
      </c>
      <c r="H140" s="8" t="n">
        <v>360</v>
      </c>
      <c r="I140" s="8" t="n">
        <v>26000</v>
      </c>
      <c r="J140" s="8" t="n">
        <v>500</v>
      </c>
      <c r="K140" s="8" t="n">
        <v>0.7826</v>
      </c>
      <c r="L140" s="8" t="n">
        <v>119600</v>
      </c>
      <c r="M140" s="8" t="n">
        <v>538200000</v>
      </c>
    </row>
    <row r="141">
      <c r="A141" t="n">
        <v>11</v>
      </c>
      <c r="B141" s="8" t="n">
        <v>139</v>
      </c>
      <c r="C141" s="11" t="inlineStr">
        <is>
          <t>BOSS-百兵冢君</t>
        </is>
      </c>
      <c r="D141" s="8" t="inlineStr">
        <is>
          <t>boss</t>
        </is>
      </c>
      <c r="E141" s="8" t="n">
        <v>1150</v>
      </c>
      <c r="F141" s="8" t="n">
        <v>8100</v>
      </c>
      <c r="G141" s="8" t="n">
        <v>5000</v>
      </c>
      <c r="H141" s="8" t="n">
        <v>1060</v>
      </c>
      <c r="I141" s="8" t="n">
        <v>3600</v>
      </c>
      <c r="J141" s="8" t="n">
        <v>750</v>
      </c>
      <c r="K141" s="8" t="n">
        <v>0.9137999999999999</v>
      </c>
      <c r="L141" s="8" t="n">
        <v>41760</v>
      </c>
      <c r="M141" s="8" t="n">
        <v>208800000</v>
      </c>
    </row>
    <row r="142">
      <c r="A142" t="n">
        <v>11</v>
      </c>
      <c r="B142" s="8" t="n">
        <v>140</v>
      </c>
      <c r="C142" s="11" t="inlineStr">
        <is>
          <t>BOSS-死亡领主</t>
        </is>
      </c>
      <c r="D142" s="8" t="inlineStr">
        <is>
          <t>boss</t>
        </is>
      </c>
      <c r="E142" s="8" t="n">
        <v>1200</v>
      </c>
      <c r="F142" s="8" t="n">
        <v>8250</v>
      </c>
      <c r="G142" s="8" t="n">
        <v>7500</v>
      </c>
      <c r="H142" s="8" t="n">
        <v>970</v>
      </c>
      <c r="I142" s="8" t="n">
        <v>3900</v>
      </c>
      <c r="J142" s="8" t="n">
        <v>800</v>
      </c>
      <c r="K142" s="8" t="n">
        <v>0.9065</v>
      </c>
      <c r="L142" s="8" t="n">
        <v>41730</v>
      </c>
      <c r="M142" s="8" t="n">
        <v>312975000</v>
      </c>
    </row>
    <row r="143">
      <c r="A143" t="n">
        <v>11</v>
      </c>
      <c r="B143" s="8" t="n">
        <v>141</v>
      </c>
      <c r="C143" s="11" t="inlineStr">
        <is>
          <t>BOSS-幽冥神眼</t>
        </is>
      </c>
      <c r="D143" s="8" t="inlineStr">
        <is>
          <t>boss</t>
        </is>
      </c>
      <c r="E143" s="8" t="n">
        <v>1250</v>
      </c>
      <c r="F143" s="8" t="n">
        <v>8500</v>
      </c>
      <c r="G143" s="8" t="n">
        <v>6000</v>
      </c>
      <c r="H143" s="8" t="n">
        <v>630</v>
      </c>
      <c r="I143" s="8" t="n">
        <v>12000</v>
      </c>
      <c r="J143" s="8" t="n">
        <v>600</v>
      </c>
      <c r="K143" s="8" t="n">
        <v>0.863</v>
      </c>
      <c r="L143" s="8" t="n">
        <v>87600</v>
      </c>
      <c r="M143" s="8" t="n">
        <v>525600000</v>
      </c>
    </row>
    <row r="144">
      <c r="A144" t="n">
        <v>11</v>
      </c>
      <c r="B144" s="8" t="n">
        <v>142</v>
      </c>
      <c r="C144" s="11" t="inlineStr">
        <is>
          <t>隐秘-阴极真神幻象</t>
        </is>
      </c>
      <c r="D144" s="8" t="inlineStr">
        <is>
          <t>boss</t>
        </is>
      </c>
      <c r="E144" s="8" t="n">
        <v>25000</v>
      </c>
      <c r="F144" s="8" t="n">
        <v>25000</v>
      </c>
      <c r="G144" s="8" t="n">
        <v>6000</v>
      </c>
      <c r="H144" s="8" t="n">
        <v>2000</v>
      </c>
      <c r="I144" s="8" t="n">
        <v>4000</v>
      </c>
      <c r="J144" s="8" t="n">
        <v>700</v>
      </c>
      <c r="K144" s="8" t="n">
        <v>0.9524</v>
      </c>
      <c r="L144" s="8" t="n">
        <v>84000</v>
      </c>
      <c r="M144" s="8" t="n">
        <v>504000000</v>
      </c>
    </row>
    <row r="145">
      <c r="A145" t="inlineStr">
        <is>
          <t>世界boss</t>
        </is>
      </c>
      <c r="C145" s="1" t="inlineStr">
        <is>
          <t>北海玄夔</t>
        </is>
      </c>
      <c r="D145" s="1" t="inlineStr">
        <is>
          <t>世界boss</t>
        </is>
      </c>
      <c r="G145" s="1" t="n">
        <v>300</v>
      </c>
      <c r="H145" s="1" t="n">
        <v>500</v>
      </c>
      <c r="I145" s="1" t="n">
        <v>10000000</v>
      </c>
      <c r="J145" s="1" t="n">
        <v>150</v>
      </c>
    </row>
    <row r="148">
      <c r="C148" t="inlineStr">
        <is>
          <t>世界</t>
        </is>
      </c>
      <c r="H148">
        <f>[1]强化!E34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1"/>
  <sheetViews>
    <sheetView tabSelected="1" workbookViewId="0">
      <pane ySplit="1" topLeftCell="A2" activePane="bottomLeft" state="frozen"/>
      <selection pane="bottomLeft" activeCell="J1" sqref="J1"/>
    </sheetView>
  </sheetViews>
  <sheetFormatPr baseColWidth="8" defaultColWidth="8.25" defaultRowHeight="14"/>
  <cols>
    <col width="15.58203125" customWidth="1" min="1" max="1"/>
    <col width="22.1640625" customWidth="1" min="2" max="2"/>
    <col width="10.08203125" customWidth="1" style="6" min="3" max="3"/>
    <col width="7.33203125" customWidth="1" min="4" max="11"/>
    <col width="194.75" customWidth="1" min="12" max="12"/>
    <col width="8.1640625" customWidth="1" min="14" max="14"/>
  </cols>
  <sheetData>
    <row r="1">
      <c r="A1" s="7" t="inlineStr">
        <is>
          <t>编号</t>
        </is>
      </c>
      <c r="B1" s="7" t="inlineStr">
        <is>
          <t>名称</t>
        </is>
      </c>
      <c r="C1" s="6" t="inlineStr">
        <is>
          <t>部位</t>
        </is>
      </c>
      <c r="D1" s="7" t="inlineStr">
        <is>
          <t>基础价格</t>
        </is>
      </c>
      <c r="E1" s="7" t="inlineStr">
        <is>
          <t>生命</t>
        </is>
      </c>
      <c r="F1" s="7" t="inlineStr">
        <is>
          <t>攻击</t>
        </is>
      </c>
      <c r="G1" s="7" t="inlineStr">
        <is>
          <t>防御</t>
        </is>
      </c>
      <c r="H1" s="7" t="inlineStr">
        <is>
          <t>能量</t>
        </is>
      </c>
      <c r="I1" s="7" t="inlineStr">
        <is>
          <t>暴击</t>
        </is>
      </c>
      <c r="J1" s="7" t="inlineStr">
        <is>
          <t>穿透</t>
        </is>
      </c>
      <c r="K1" s="7" t="inlineStr">
        <is>
          <t>敏捷</t>
        </is>
      </c>
      <c r="L1" s="2" t="inlineStr">
        <is>
          <t>套装</t>
        </is>
      </c>
    </row>
    <row r="2">
      <c r="A2" s="8" t="inlineStr">
        <is>
          <t>0</t>
        </is>
      </c>
      <c r="B2" s="9" t="inlineStr">
        <is>
          <t>匕首</t>
        </is>
      </c>
      <c r="C2" s="6" t="inlineStr">
        <is>
          <t>武器</t>
        </is>
      </c>
      <c r="D2" s="8" t="n">
        <v>100</v>
      </c>
      <c r="E2" s="8" t="n">
        <v>0</v>
      </c>
      <c r="F2" s="8" t="n">
        <v>3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1</v>
      </c>
      <c r="L2" s="14" t="inlineStr"/>
    </row>
    <row r="3">
      <c r="A3" s="8" t="inlineStr">
        <is>
          <t>1</t>
        </is>
      </c>
      <c r="B3" s="10" t="inlineStr">
        <is>
          <t>短剑</t>
        </is>
      </c>
      <c r="C3" s="6" t="inlineStr">
        <is>
          <t>武器</t>
        </is>
      </c>
      <c r="D3" s="8" t="n">
        <v>180</v>
      </c>
      <c r="E3" s="8" t="n">
        <v>0</v>
      </c>
      <c r="F3" s="8" t="n">
        <v>4</v>
      </c>
      <c r="G3" s="8" t="n">
        <v>0</v>
      </c>
      <c r="H3" s="8" t="n">
        <v>0</v>
      </c>
      <c r="I3" s="8" t="n">
        <v>1</v>
      </c>
      <c r="J3" s="8" t="n">
        <v>0</v>
      </c>
      <c r="K3" s="8" t="n">
        <v>0</v>
      </c>
      <c r="L3" s="14" t="inlineStr"/>
    </row>
    <row r="4">
      <c r="A4" s="8" t="inlineStr">
        <is>
          <t>2</t>
        </is>
      </c>
      <c r="B4" s="11" t="inlineStr">
        <is>
          <t>铁剑</t>
        </is>
      </c>
      <c r="C4" s="6" t="inlineStr">
        <is>
          <t>武器</t>
        </is>
      </c>
      <c r="D4" s="8" t="n">
        <v>320</v>
      </c>
      <c r="E4" s="8" t="n">
        <v>0</v>
      </c>
      <c r="F4" s="8" t="n">
        <v>6</v>
      </c>
      <c r="G4" s="8" t="n">
        <v>0</v>
      </c>
      <c r="H4" s="8" t="n">
        <v>0</v>
      </c>
      <c r="I4" s="8" t="n">
        <v>0</v>
      </c>
      <c r="J4" s="8" t="n">
        <v>1</v>
      </c>
      <c r="K4" s="8" t="n">
        <v>0</v>
      </c>
      <c r="L4" s="14" t="inlineStr"/>
    </row>
    <row r="5">
      <c r="A5" s="8" t="inlineStr">
        <is>
          <t>3</t>
        </is>
      </c>
      <c r="B5" s="11" t="inlineStr">
        <is>
          <t>钢刃</t>
        </is>
      </c>
      <c r="C5" s="6" t="inlineStr">
        <is>
          <t>武器</t>
        </is>
      </c>
      <c r="D5" s="8" t="n">
        <v>520</v>
      </c>
      <c r="E5" s="8" t="n">
        <v>0</v>
      </c>
      <c r="F5" s="8" t="n">
        <v>8</v>
      </c>
      <c r="G5" s="8" t="n">
        <v>0</v>
      </c>
      <c r="H5" s="8" t="n">
        <v>0</v>
      </c>
      <c r="I5" s="8" t="n">
        <v>2</v>
      </c>
      <c r="J5" s="8" t="n">
        <v>2</v>
      </c>
      <c r="K5" s="8" t="n">
        <v>0</v>
      </c>
      <c r="L5" s="14" t="inlineStr"/>
    </row>
    <row r="6">
      <c r="A6" s="8" t="inlineStr">
        <is>
          <t>4</t>
        </is>
      </c>
      <c r="B6" s="9" t="inlineStr">
        <is>
          <t>布甲</t>
        </is>
      </c>
      <c r="C6" s="6" t="inlineStr">
        <is>
          <t>护甲</t>
        </is>
      </c>
      <c r="D6" s="8" t="n">
        <v>110</v>
      </c>
      <c r="E6" s="8" t="n">
        <v>10</v>
      </c>
      <c r="F6" s="8" t="n">
        <v>0</v>
      </c>
      <c r="G6" s="8" t="n">
        <v>4</v>
      </c>
      <c r="H6" s="8" t="n">
        <v>1</v>
      </c>
      <c r="I6" s="8" t="n">
        <v>0</v>
      </c>
      <c r="J6" s="8" t="n">
        <v>0</v>
      </c>
      <c r="K6" s="8" t="n">
        <v>0</v>
      </c>
      <c r="L6" s="14" t="inlineStr"/>
    </row>
    <row r="7">
      <c r="A7" s="8" t="inlineStr">
        <is>
          <t>5</t>
        </is>
      </c>
      <c r="B7" s="10" t="inlineStr">
        <is>
          <t>皮甲</t>
        </is>
      </c>
      <c r="C7" s="6" t="inlineStr">
        <is>
          <t>护甲</t>
        </is>
      </c>
      <c r="D7" s="8" t="n">
        <v>200</v>
      </c>
      <c r="E7" s="8" t="n">
        <v>12</v>
      </c>
      <c r="F7" s="8" t="n">
        <v>0</v>
      </c>
      <c r="G7" s="8" t="n">
        <v>5</v>
      </c>
      <c r="H7" s="8" t="n">
        <v>2</v>
      </c>
      <c r="I7" s="8" t="n">
        <v>0</v>
      </c>
      <c r="J7" s="8" t="n">
        <v>0</v>
      </c>
      <c r="K7" s="8" t="n">
        <v>0</v>
      </c>
      <c r="L7" s="14" t="inlineStr"/>
    </row>
    <row r="8">
      <c r="A8" s="8" t="inlineStr">
        <is>
          <t>6</t>
        </is>
      </c>
      <c r="B8" s="10" t="inlineStr">
        <is>
          <t>鳞甲</t>
        </is>
      </c>
      <c r="C8" s="6" t="inlineStr">
        <is>
          <t>护甲</t>
        </is>
      </c>
      <c r="D8" s="8" t="n">
        <v>360</v>
      </c>
      <c r="E8" s="8" t="n">
        <v>15</v>
      </c>
      <c r="F8" s="8" t="n">
        <v>0</v>
      </c>
      <c r="G8" s="8" t="n">
        <v>8</v>
      </c>
      <c r="H8" s="8" t="n">
        <v>3</v>
      </c>
      <c r="I8" s="8" t="n">
        <v>0</v>
      </c>
      <c r="J8" s="8" t="n">
        <v>0</v>
      </c>
      <c r="K8" s="8" t="n">
        <v>0</v>
      </c>
      <c r="L8" s="14" t="inlineStr"/>
    </row>
    <row r="9">
      <c r="A9" s="8" t="inlineStr">
        <is>
          <t>7</t>
        </is>
      </c>
      <c r="B9" s="11" t="inlineStr">
        <is>
          <t>精制铁甲</t>
        </is>
      </c>
      <c r="C9" s="6" t="inlineStr">
        <is>
          <t>护甲</t>
        </is>
      </c>
      <c r="D9" s="8" t="n">
        <v>560</v>
      </c>
      <c r="E9" s="8" t="n">
        <v>20</v>
      </c>
      <c r="F9" s="8" t="n">
        <v>0</v>
      </c>
      <c r="G9" s="8" t="n">
        <v>10</v>
      </c>
      <c r="H9" s="8" t="n">
        <v>3</v>
      </c>
      <c r="I9" s="8" t="n">
        <v>0</v>
      </c>
      <c r="J9" s="8" t="n">
        <v>0</v>
      </c>
      <c r="K9" s="8" t="n">
        <v>0</v>
      </c>
      <c r="L9" s="14" t="inlineStr"/>
    </row>
    <row r="10">
      <c r="A10" s="8" t="inlineStr">
        <is>
          <t>8</t>
        </is>
      </c>
      <c r="B10" s="9" t="inlineStr">
        <is>
          <t>布帽</t>
        </is>
      </c>
      <c r="C10" s="6" t="inlineStr">
        <is>
          <t>头盔</t>
        </is>
      </c>
      <c r="D10" s="8" t="n">
        <v>90</v>
      </c>
      <c r="E10" s="8" t="n">
        <v>5</v>
      </c>
      <c r="F10" s="8" t="n">
        <v>0</v>
      </c>
      <c r="G10" s="8" t="n">
        <v>2</v>
      </c>
      <c r="H10" s="8" t="n">
        <v>1</v>
      </c>
      <c r="I10" s="8" t="n">
        <v>0</v>
      </c>
      <c r="J10" s="8" t="n">
        <v>0</v>
      </c>
      <c r="K10" s="8" t="n">
        <v>0</v>
      </c>
      <c r="L10" s="14" t="inlineStr"/>
    </row>
    <row r="11">
      <c r="A11" s="8" t="inlineStr">
        <is>
          <t>9</t>
        </is>
      </c>
      <c r="B11" s="10" t="inlineStr">
        <is>
          <t>皮帽</t>
        </is>
      </c>
      <c r="C11" s="6" t="inlineStr">
        <is>
          <t>头盔</t>
        </is>
      </c>
      <c r="D11" s="8" t="n">
        <v>160</v>
      </c>
      <c r="E11" s="8" t="n">
        <v>6</v>
      </c>
      <c r="F11" s="8" t="n">
        <v>0</v>
      </c>
      <c r="G11" s="8" t="n">
        <v>3</v>
      </c>
      <c r="H11" s="8" t="n">
        <v>2</v>
      </c>
      <c r="I11" s="8" t="n">
        <v>0</v>
      </c>
      <c r="J11" s="8" t="n">
        <v>0</v>
      </c>
      <c r="K11" s="8" t="n">
        <v>0</v>
      </c>
      <c r="L11" s="14" t="inlineStr"/>
    </row>
    <row r="12">
      <c r="A12" s="8" t="inlineStr">
        <is>
          <t>10</t>
        </is>
      </c>
      <c r="B12" s="9" t="inlineStr">
        <is>
          <t>骨盔</t>
        </is>
      </c>
      <c r="C12" s="6" t="inlineStr">
        <is>
          <t>头盔</t>
        </is>
      </c>
      <c r="D12" s="8" t="n">
        <v>280</v>
      </c>
      <c r="E12" s="8" t="n">
        <v>10</v>
      </c>
      <c r="F12" s="8" t="n">
        <v>0</v>
      </c>
      <c r="G12" s="8" t="n">
        <v>4</v>
      </c>
      <c r="H12" s="8" t="n">
        <v>2</v>
      </c>
      <c r="I12" s="8" t="n">
        <v>0</v>
      </c>
      <c r="J12" s="8" t="n">
        <v>1</v>
      </c>
      <c r="K12" s="8" t="n">
        <v>0</v>
      </c>
      <c r="L12" s="14" t="inlineStr"/>
    </row>
    <row r="13">
      <c r="A13" s="8" t="inlineStr">
        <is>
          <t>11</t>
        </is>
      </c>
      <c r="B13" s="11" t="inlineStr">
        <is>
          <t>铁盔</t>
        </is>
      </c>
      <c r="C13" s="6" t="inlineStr">
        <is>
          <t>头盔</t>
        </is>
      </c>
      <c r="D13" s="8" t="n">
        <v>420</v>
      </c>
      <c r="E13" s="8" t="n">
        <v>14</v>
      </c>
      <c r="F13" s="8" t="n">
        <v>0</v>
      </c>
      <c r="G13" s="8" t="n">
        <v>6</v>
      </c>
      <c r="H13" s="8" t="n">
        <v>2</v>
      </c>
      <c r="I13" s="8" t="n">
        <v>0</v>
      </c>
      <c r="J13" s="8" t="n">
        <v>0</v>
      </c>
      <c r="K13" s="8" t="n">
        <v>0</v>
      </c>
      <c r="L13" s="14" t="inlineStr"/>
    </row>
    <row r="14">
      <c r="A14" s="8" t="inlineStr">
        <is>
          <t>12</t>
        </is>
      </c>
      <c r="B14" s="9" t="inlineStr">
        <is>
          <t>布靴</t>
        </is>
      </c>
      <c r="C14" s="6" t="inlineStr">
        <is>
          <t>鞋子</t>
        </is>
      </c>
      <c r="D14" s="8" t="n">
        <v>90</v>
      </c>
      <c r="E14" s="8" t="n">
        <v>0</v>
      </c>
      <c r="F14" s="8" t="n">
        <v>0</v>
      </c>
      <c r="G14" s="8" t="n">
        <v>1</v>
      </c>
      <c r="H14" s="8" t="n">
        <v>0</v>
      </c>
      <c r="I14" s="8" t="n">
        <v>0</v>
      </c>
      <c r="J14" s="8" t="n">
        <v>0</v>
      </c>
      <c r="K14" s="8" t="n">
        <v>2</v>
      </c>
      <c r="L14" s="14" t="inlineStr"/>
    </row>
    <row r="15">
      <c r="A15" s="8" t="inlineStr">
        <is>
          <t>13</t>
        </is>
      </c>
      <c r="B15" s="11" t="inlineStr">
        <is>
          <t>皮靴</t>
        </is>
      </c>
      <c r="C15" s="6" t="inlineStr">
        <is>
          <t>鞋子</t>
        </is>
      </c>
      <c r="D15" s="8" t="n">
        <v>170</v>
      </c>
      <c r="E15" s="8" t="n">
        <v>0</v>
      </c>
      <c r="F15" s="8" t="n">
        <v>0</v>
      </c>
      <c r="G15" s="8" t="n">
        <v>2</v>
      </c>
      <c r="H15" s="8" t="n">
        <v>1</v>
      </c>
      <c r="I15" s="8" t="n">
        <v>0</v>
      </c>
      <c r="J15" s="8" t="n">
        <v>0</v>
      </c>
      <c r="K15" s="8" t="n">
        <v>3</v>
      </c>
      <c r="L15" s="14" t="inlineStr"/>
    </row>
    <row r="16">
      <c r="A16" s="8" t="inlineStr">
        <is>
          <t>14</t>
        </is>
      </c>
      <c r="B16" s="10" t="inlineStr">
        <is>
          <t>沙行靴</t>
        </is>
      </c>
      <c r="C16" s="6" t="inlineStr">
        <is>
          <t>鞋子</t>
        </is>
      </c>
      <c r="D16" s="8" t="n">
        <v>300</v>
      </c>
      <c r="E16" s="8" t="n">
        <v>0</v>
      </c>
      <c r="F16" s="8" t="n">
        <v>0</v>
      </c>
      <c r="G16" s="8" t="n">
        <v>3</v>
      </c>
      <c r="H16" s="8" t="n">
        <v>2</v>
      </c>
      <c r="I16" s="8" t="n">
        <v>0</v>
      </c>
      <c r="J16" s="8" t="n">
        <v>0</v>
      </c>
      <c r="K16" s="8" t="n">
        <v>4</v>
      </c>
      <c r="L16" s="14" t="inlineStr"/>
    </row>
    <row r="17">
      <c r="A17" s="8" t="inlineStr">
        <is>
          <t>15</t>
        </is>
      </c>
      <c r="B17" s="10" t="inlineStr">
        <is>
          <t>铁靴</t>
        </is>
      </c>
      <c r="C17" s="6" t="inlineStr">
        <is>
          <t>鞋子</t>
        </is>
      </c>
      <c r="D17" s="8" t="n">
        <v>460</v>
      </c>
      <c r="E17" s="8" t="n">
        <v>0</v>
      </c>
      <c r="F17" s="8" t="n">
        <v>0</v>
      </c>
      <c r="G17" s="8" t="n">
        <v>5</v>
      </c>
      <c r="H17" s="8" t="n">
        <v>3</v>
      </c>
      <c r="I17" s="8" t="n">
        <v>0</v>
      </c>
      <c r="J17" s="8" t="n">
        <v>0</v>
      </c>
      <c r="K17" s="8" t="n">
        <v>2</v>
      </c>
      <c r="L17" s="14" t="inlineStr"/>
    </row>
    <row r="18">
      <c r="A18" s="8" t="inlineStr">
        <is>
          <t>16</t>
        </is>
      </c>
      <c r="B18" s="10" t="inlineStr">
        <is>
          <t>星光戒指</t>
        </is>
      </c>
      <c r="C18" s="6" t="inlineStr">
        <is>
          <t>饰品</t>
        </is>
      </c>
      <c r="D18" s="8" t="n">
        <v>220</v>
      </c>
      <c r="E18" s="8" t="n">
        <v>0</v>
      </c>
      <c r="F18" s="8" t="n">
        <v>3</v>
      </c>
      <c r="G18" s="8" t="n">
        <v>0</v>
      </c>
      <c r="H18" s="8" t="n">
        <v>2</v>
      </c>
      <c r="I18" s="8" t="n">
        <v>2</v>
      </c>
      <c r="J18" s="8" t="n">
        <v>0</v>
      </c>
      <c r="K18" s="8" t="n">
        <v>0</v>
      </c>
      <c r="L18" s="14" t="inlineStr"/>
    </row>
    <row r="19">
      <c r="A19" s="8" t="inlineStr">
        <is>
          <t>17</t>
        </is>
      </c>
      <c r="B19" s="10" t="inlineStr">
        <is>
          <t>石英项链</t>
        </is>
      </c>
      <c r="C19" s="6" t="inlineStr">
        <is>
          <t>饰品</t>
        </is>
      </c>
      <c r="D19" s="8" t="n">
        <v>220</v>
      </c>
      <c r="E19" s="8" t="n">
        <v>14</v>
      </c>
      <c r="F19" s="8" t="n">
        <v>0</v>
      </c>
      <c r="G19" s="8" t="n">
        <v>2</v>
      </c>
      <c r="H19" s="8" t="n">
        <v>2</v>
      </c>
      <c r="I19" s="8" t="n">
        <v>0</v>
      </c>
      <c r="J19" s="8" t="n">
        <v>0</v>
      </c>
      <c r="K19" s="8" t="n">
        <v>0</v>
      </c>
      <c r="L19" s="14" t="inlineStr"/>
    </row>
    <row r="20">
      <c r="A20" s="8" t="inlineStr">
        <is>
          <t>18</t>
        </is>
      </c>
      <c r="B20" s="11" t="inlineStr">
        <is>
          <t>清泉坠</t>
        </is>
      </c>
      <c r="C20" s="6" t="inlineStr">
        <is>
          <t>饰品</t>
        </is>
      </c>
      <c r="D20" s="8" t="n">
        <v>420</v>
      </c>
      <c r="E20" s="8" t="n">
        <v>10</v>
      </c>
      <c r="F20" s="8" t="n">
        <v>2</v>
      </c>
      <c r="G20" s="8" t="n">
        <v>0</v>
      </c>
      <c r="H20" s="8" t="n">
        <v>4</v>
      </c>
      <c r="I20" s="8" t="n">
        <v>0</v>
      </c>
      <c r="J20" s="8" t="n">
        <v>0</v>
      </c>
      <c r="K20" s="8" t="n">
        <v>1</v>
      </c>
      <c r="L20" s="14" t="inlineStr"/>
    </row>
    <row r="21" customFormat="1" s="3">
      <c r="A21" s="8" t="inlineStr">
        <is>
          <t>19</t>
        </is>
      </c>
      <c r="B21" s="15" t="inlineStr">
        <is>
          <t>失落者的庇护</t>
        </is>
      </c>
      <c r="C21" s="6" t="inlineStr">
        <is>
          <t>饰品</t>
        </is>
      </c>
      <c r="D21" s="8" t="n">
        <v>1000</v>
      </c>
      <c r="E21" s="8" t="n">
        <v>3</v>
      </c>
      <c r="F21" s="8" t="n">
        <v>3</v>
      </c>
      <c r="G21" s="8" t="n">
        <v>3</v>
      </c>
      <c r="H21" s="8" t="n">
        <v>3</v>
      </c>
      <c r="I21" s="8" t="n">
        <v>3</v>
      </c>
      <c r="J21" s="8" t="n">
        <v>3</v>
      </c>
      <c r="K21" s="8" t="n">
        <v>3</v>
      </c>
      <c r="L21" s="14" t="inlineStr"/>
    </row>
    <row r="22" customFormat="1" s="4">
      <c r="A22" s="8" t="inlineStr">
        <is>
          <t>20</t>
        </is>
      </c>
      <c r="B22" s="16" t="inlineStr">
        <is>
          <t>隐秘-守护重锤</t>
        </is>
      </c>
      <c r="C22" s="6" t="inlineStr">
        <is>
          <t>武器</t>
        </is>
      </c>
      <c r="D22" s="8" t="n">
        <v>3000</v>
      </c>
      <c r="E22" s="8" t="n">
        <v>10</v>
      </c>
      <c r="F22" s="8" t="n">
        <v>18</v>
      </c>
      <c r="G22" s="8" t="n">
        <v>7</v>
      </c>
      <c r="H22" s="8" t="n">
        <v>0</v>
      </c>
      <c r="I22" s="8" t="n">
        <v>10</v>
      </c>
      <c r="J22" s="8" t="n">
        <v>6</v>
      </c>
      <c r="K22" s="8" t="n">
        <v>0</v>
      </c>
      <c r="L22" s="14" t="inlineStr">
        <is>
          <t>装备技能：被动｜守护｜增加5%最终受伤减免；最终受伤 -5%</t>
        </is>
      </c>
    </row>
    <row r="23">
      <c r="A23" s="8" t="inlineStr">
        <is>
          <t>21</t>
        </is>
      </c>
      <c r="B23" s="17" t="inlineStr">
        <is>
          <t>寒光匕首</t>
        </is>
      </c>
      <c r="C23" s="6" t="inlineStr">
        <is>
          <t>武器</t>
        </is>
      </c>
      <c r="D23" s="8" t="n">
        <v>600</v>
      </c>
      <c r="E23" s="8" t="n">
        <v>0</v>
      </c>
      <c r="F23" s="8" t="n">
        <v>9</v>
      </c>
      <c r="G23" s="8" t="n">
        <v>0</v>
      </c>
      <c r="H23" s="8" t="n">
        <v>1</v>
      </c>
      <c r="I23" s="8" t="n">
        <v>3</v>
      </c>
      <c r="J23" s="8" t="n">
        <v>2</v>
      </c>
      <c r="K23" s="8" t="n">
        <v>3</v>
      </c>
      <c r="L23" s="14" t="inlineStr"/>
    </row>
    <row r="24">
      <c r="A24" s="8" t="inlineStr">
        <is>
          <t>22</t>
        </is>
      </c>
      <c r="B24" s="9" t="inlineStr">
        <is>
          <t>冰之手杖</t>
        </is>
      </c>
      <c r="C24" s="6" t="inlineStr">
        <is>
          <t>武器</t>
        </is>
      </c>
      <c r="D24" s="8" t="n">
        <v>650</v>
      </c>
      <c r="E24" s="8" t="n">
        <v>5</v>
      </c>
      <c r="F24" s="8" t="n">
        <v>11</v>
      </c>
      <c r="G24" s="8" t="n">
        <v>2</v>
      </c>
      <c r="H24" s="8" t="n">
        <v>3</v>
      </c>
      <c r="I24" s="8" t="n">
        <v>2</v>
      </c>
      <c r="J24" s="8" t="n">
        <v>0</v>
      </c>
      <c r="K24" s="8" t="n">
        <v>1</v>
      </c>
      <c r="L24" s="14" t="inlineStr"/>
    </row>
    <row r="25">
      <c r="A25" s="8" t="inlineStr">
        <is>
          <t>23</t>
        </is>
      </c>
      <c r="B25" s="9" t="inlineStr">
        <is>
          <t>极地冰甲</t>
        </is>
      </c>
      <c r="C25" s="6" t="inlineStr">
        <is>
          <t>护甲</t>
        </is>
      </c>
      <c r="D25" s="8" t="n">
        <v>800</v>
      </c>
      <c r="E25" s="8" t="n">
        <v>24</v>
      </c>
      <c r="F25" s="8" t="n">
        <v>0</v>
      </c>
      <c r="G25" s="8" t="n">
        <v>12</v>
      </c>
      <c r="H25" s="8" t="n">
        <v>2</v>
      </c>
      <c r="I25" s="8" t="n">
        <v>0</v>
      </c>
      <c r="J25" s="8" t="n">
        <v>0</v>
      </c>
      <c r="K25" s="8" t="n">
        <v>1</v>
      </c>
      <c r="L25" s="14" t="inlineStr"/>
    </row>
    <row r="26">
      <c r="A26" s="8" t="inlineStr">
        <is>
          <t>24</t>
        </is>
      </c>
      <c r="B26" s="9" t="inlineStr">
        <is>
          <t>寒冰头盔</t>
        </is>
      </c>
      <c r="C26" s="6" t="inlineStr">
        <is>
          <t>头盔</t>
        </is>
      </c>
      <c r="D26" s="8" t="n">
        <v>600</v>
      </c>
      <c r="E26" s="8" t="n">
        <v>15</v>
      </c>
      <c r="F26" s="8" t="n">
        <v>2</v>
      </c>
      <c r="G26" s="8" t="n">
        <v>6</v>
      </c>
      <c r="H26" s="8" t="n">
        <v>4</v>
      </c>
      <c r="I26" s="8" t="n">
        <v>0</v>
      </c>
      <c r="J26" s="8" t="n">
        <v>1</v>
      </c>
      <c r="K26" s="8" t="n">
        <v>2</v>
      </c>
      <c r="L26" s="14" t="inlineStr"/>
    </row>
    <row r="27" customFormat="1" s="3">
      <c r="A27" s="8" t="inlineStr">
        <is>
          <t>25</t>
        </is>
      </c>
      <c r="B27" s="9" t="inlineStr">
        <is>
          <t>冰霜行者</t>
        </is>
      </c>
      <c r="C27" s="6" t="inlineStr">
        <is>
          <t>鞋子</t>
        </is>
      </c>
      <c r="D27" s="8" t="n">
        <v>1000</v>
      </c>
      <c r="E27" s="8" t="n">
        <v>5</v>
      </c>
      <c r="F27" s="8" t="n">
        <v>2</v>
      </c>
      <c r="G27" s="8" t="n">
        <v>6</v>
      </c>
      <c r="H27" s="8" t="n">
        <v>3</v>
      </c>
      <c r="I27" s="8" t="n">
        <v>3</v>
      </c>
      <c r="J27" s="8" t="n">
        <v>1</v>
      </c>
      <c r="K27" s="8" t="n">
        <v>4</v>
      </c>
      <c r="L27" s="14" t="inlineStr"/>
    </row>
    <row r="28" customFormat="1" s="3">
      <c r="A28" s="8" t="inlineStr">
        <is>
          <t>26</t>
        </is>
      </c>
      <c r="B28" s="11" t="inlineStr">
        <is>
          <t>精灵祝福</t>
        </is>
      </c>
      <c r="C28" s="6" t="inlineStr">
        <is>
          <t>饰品</t>
        </is>
      </c>
      <c r="D28" s="8" t="n">
        <v>1200</v>
      </c>
      <c r="E28" s="8" t="n">
        <v>8</v>
      </c>
      <c r="F28" s="8" t="n">
        <v>4</v>
      </c>
      <c r="G28" s="8" t="n">
        <v>4</v>
      </c>
      <c r="H28" s="8" t="n">
        <v>6</v>
      </c>
      <c r="I28" s="8" t="n">
        <v>2</v>
      </c>
      <c r="J28" s="8" t="n">
        <v>2</v>
      </c>
      <c r="K28" s="8" t="n">
        <v>5</v>
      </c>
      <c r="L28" s="14" t="inlineStr"/>
    </row>
    <row r="29">
      <c r="A29" s="8" t="inlineStr">
        <is>
          <t>27</t>
        </is>
      </c>
      <c r="B29" s="11" t="inlineStr">
        <is>
          <t>暴龙之牙</t>
        </is>
      </c>
      <c r="C29" s="6" t="inlineStr">
        <is>
          <t>武器</t>
        </is>
      </c>
      <c r="D29" s="8" t="n">
        <v>1600</v>
      </c>
      <c r="E29" s="8" t="n">
        <v>0</v>
      </c>
      <c r="F29" s="8" t="n">
        <v>20</v>
      </c>
      <c r="G29" s="8" t="n">
        <v>0</v>
      </c>
      <c r="H29" s="8" t="n">
        <v>0</v>
      </c>
      <c r="I29" s="8" t="n">
        <v>7</v>
      </c>
      <c r="J29" s="8" t="n">
        <v>5</v>
      </c>
      <c r="K29" s="8" t="n">
        <v>6</v>
      </c>
      <c r="L29" s="14" t="inlineStr"/>
    </row>
    <row r="30">
      <c r="A30" s="8" t="inlineStr">
        <is>
          <t>28</t>
        </is>
      </c>
      <c r="B30" s="10" t="inlineStr">
        <is>
          <t>冰封之心</t>
        </is>
      </c>
      <c r="C30" s="6" t="inlineStr">
        <is>
          <t>饰品</t>
        </is>
      </c>
      <c r="D30" s="8" t="n">
        <v>1100</v>
      </c>
      <c r="E30" s="8" t="n">
        <v>5</v>
      </c>
      <c r="F30" s="8" t="n">
        <v>0</v>
      </c>
      <c r="G30" s="8" t="n">
        <v>5</v>
      </c>
      <c r="H30" s="8" t="n">
        <v>5</v>
      </c>
      <c r="I30" s="8" t="n">
        <v>0</v>
      </c>
      <c r="J30" s="8" t="n">
        <v>0</v>
      </c>
      <c r="K30" s="8" t="n">
        <v>0</v>
      </c>
      <c r="L30" s="14" t="inlineStr"/>
    </row>
    <row r="31" customFormat="1" s="4">
      <c r="A31" s="8" t="inlineStr">
        <is>
          <t>29</t>
        </is>
      </c>
      <c r="B31" s="16" t="inlineStr">
        <is>
          <t>隐秘-明目之冕</t>
        </is>
      </c>
      <c r="C31" s="6" t="inlineStr">
        <is>
          <t>头盔</t>
        </is>
      </c>
      <c r="D31" s="8" t="n">
        <v>1000</v>
      </c>
      <c r="E31" s="8" t="n">
        <v>10</v>
      </c>
      <c r="F31" s="8" t="n">
        <v>4</v>
      </c>
      <c r="G31" s="8" t="n">
        <v>5</v>
      </c>
      <c r="H31" s="8" t="n">
        <v>8</v>
      </c>
      <c r="I31" s="8" t="n">
        <v>6</v>
      </c>
      <c r="J31" s="8" t="n">
        <v>6</v>
      </c>
      <c r="K31" s="8" t="n">
        <v>10</v>
      </c>
      <c r="L31" s="14" t="inlineStr">
        <is>
          <t>装备技能：被动｜看破｜提高5%的暴击和5%的穿透属性；暴击+5%；破甲+5%</t>
        </is>
      </c>
    </row>
    <row r="32" customFormat="1" s="5">
      <c r="A32" s="8" t="inlineStr">
        <is>
          <t>30</t>
        </is>
      </c>
      <c r="B32" s="10" t="inlineStr">
        <is>
          <t>天冰剑</t>
        </is>
      </c>
      <c r="C32" s="6" t="inlineStr">
        <is>
          <t>武器</t>
        </is>
      </c>
      <c r="D32" s="8" t="n">
        <v>1500</v>
      </c>
      <c r="E32" s="8" t="n">
        <v>0</v>
      </c>
      <c r="F32" s="8" t="n">
        <v>14</v>
      </c>
      <c r="G32" s="8" t="n">
        <v>0</v>
      </c>
      <c r="H32" s="8" t="n">
        <v>3</v>
      </c>
      <c r="I32" s="8" t="n">
        <v>3</v>
      </c>
      <c r="J32" s="8" t="n">
        <v>6</v>
      </c>
      <c r="K32" s="8" t="n">
        <v>12</v>
      </c>
      <c r="L32" s="14" t="inlineStr"/>
    </row>
    <row r="33" customFormat="1" s="3">
      <c r="A33" s="8" t="inlineStr">
        <is>
          <t>31</t>
        </is>
      </c>
      <c r="B33" s="11" t="inlineStr">
        <is>
          <t>黄沙铠甲</t>
        </is>
      </c>
      <c r="C33" s="6" t="inlineStr">
        <is>
          <t>护甲</t>
        </is>
      </c>
      <c r="D33" s="8" t="n">
        <v>1000</v>
      </c>
      <c r="E33" s="8" t="n">
        <v>26</v>
      </c>
      <c r="F33" s="8" t="n">
        <v>0</v>
      </c>
      <c r="G33" s="8" t="n">
        <v>14</v>
      </c>
      <c r="H33" s="8" t="n">
        <v>1</v>
      </c>
      <c r="I33" s="8" t="n">
        <v>1</v>
      </c>
      <c r="J33" s="8" t="n">
        <v>1</v>
      </c>
      <c r="K33" s="8" t="n">
        <v>2</v>
      </c>
      <c r="L33" s="14" t="inlineStr"/>
    </row>
    <row r="34" customFormat="1" s="3">
      <c r="A34" s="8" t="inlineStr">
        <is>
          <t>32</t>
        </is>
      </c>
      <c r="B34" s="11" t="inlineStr">
        <is>
          <t>沙漠弧光</t>
        </is>
      </c>
      <c r="C34" s="6" t="inlineStr">
        <is>
          <t>武器</t>
        </is>
      </c>
      <c r="D34" s="8" t="n">
        <v>800</v>
      </c>
      <c r="E34" s="8" t="n">
        <v>0</v>
      </c>
      <c r="F34" s="8" t="n">
        <v>12</v>
      </c>
      <c r="G34" s="8" t="n">
        <v>0</v>
      </c>
      <c r="H34" s="8" t="n">
        <v>1</v>
      </c>
      <c r="I34" s="8" t="n">
        <v>5</v>
      </c>
      <c r="J34" s="8" t="n">
        <v>3</v>
      </c>
      <c r="K34" s="8" t="n">
        <v>8</v>
      </c>
      <c r="L34" s="14" t="inlineStr"/>
    </row>
    <row r="35" customFormat="1" s="3">
      <c r="A35" s="8" t="inlineStr">
        <is>
          <t>33</t>
        </is>
      </c>
      <c r="B35" s="11" t="inlineStr">
        <is>
          <t>失落之剑</t>
        </is>
      </c>
      <c r="C35" s="6" t="inlineStr">
        <is>
          <t>武器</t>
        </is>
      </c>
      <c r="D35" s="8" t="n">
        <v>1400</v>
      </c>
      <c r="E35" s="8" t="n">
        <v>0</v>
      </c>
      <c r="F35" s="8" t="n">
        <v>16</v>
      </c>
      <c r="G35" s="8" t="n">
        <v>2</v>
      </c>
      <c r="H35" s="8" t="n">
        <v>0</v>
      </c>
      <c r="I35" s="8" t="n">
        <v>4</v>
      </c>
      <c r="J35" s="8" t="n">
        <v>3</v>
      </c>
      <c r="K35" s="8" t="n">
        <v>2</v>
      </c>
      <c r="L35" s="14" t="inlineStr"/>
    </row>
    <row r="36" customFormat="1" s="3">
      <c r="A36" s="8" t="inlineStr">
        <is>
          <t>34</t>
        </is>
      </c>
      <c r="B36" s="11" t="inlineStr">
        <is>
          <t>巨兽战甲</t>
        </is>
      </c>
      <c r="C36" s="6" t="inlineStr">
        <is>
          <t>护甲</t>
        </is>
      </c>
      <c r="D36" s="8" t="n">
        <v>1300</v>
      </c>
      <c r="E36" s="8" t="n">
        <v>30</v>
      </c>
      <c r="F36" s="8" t="n">
        <v>0</v>
      </c>
      <c r="G36" s="8" t="n">
        <v>18</v>
      </c>
      <c r="H36" s="8" t="n">
        <v>2</v>
      </c>
      <c r="I36" s="8" t="n">
        <v>2</v>
      </c>
      <c r="J36" s="8" t="n">
        <v>0</v>
      </c>
      <c r="K36" s="8" t="n">
        <v>1</v>
      </c>
      <c r="L36" s="14" t="inlineStr"/>
    </row>
    <row r="37" customFormat="1" s="3">
      <c r="A37" s="8" t="inlineStr">
        <is>
          <t>35</t>
        </is>
      </c>
      <c r="B37" s="11" t="inlineStr">
        <is>
          <t>冰雪灵纱</t>
        </is>
      </c>
      <c r="C37" s="6" t="inlineStr">
        <is>
          <t>护甲</t>
        </is>
      </c>
      <c r="D37" s="8" t="n">
        <v>2000</v>
      </c>
      <c r="E37" s="8" t="n">
        <v>30</v>
      </c>
      <c r="F37" s="8" t="n">
        <v>4</v>
      </c>
      <c r="G37" s="8" t="n">
        <v>16</v>
      </c>
      <c r="H37" s="8" t="n">
        <v>5</v>
      </c>
      <c r="I37" s="8" t="n">
        <v>3</v>
      </c>
      <c r="J37" s="8" t="n">
        <v>3</v>
      </c>
      <c r="K37" s="8" t="n">
        <v>9</v>
      </c>
      <c r="L37" s="14" t="inlineStr"/>
    </row>
    <row r="38" customFormat="1" s="3">
      <c r="A38" s="8" t="inlineStr">
        <is>
          <t>36</t>
        </is>
      </c>
      <c r="B38" s="11" t="inlineStr">
        <is>
          <t>暴龙恐爪</t>
        </is>
      </c>
      <c r="C38" s="6" t="inlineStr">
        <is>
          <t>武器</t>
        </is>
      </c>
      <c r="D38" s="8" t="n">
        <v>1700</v>
      </c>
      <c r="E38" s="8" t="n">
        <v>0</v>
      </c>
      <c r="F38" s="8" t="n">
        <v>18</v>
      </c>
      <c r="G38" s="8" t="n">
        <v>0</v>
      </c>
      <c r="H38" s="8" t="n">
        <v>0</v>
      </c>
      <c r="I38" s="8" t="n">
        <v>6</v>
      </c>
      <c r="J38" s="8" t="n">
        <v>4</v>
      </c>
      <c r="K38" s="8" t="n">
        <v>12</v>
      </c>
      <c r="L38" s="14" t="inlineStr"/>
    </row>
    <row r="39" customFormat="1" s="3">
      <c r="A39" s="8" t="inlineStr">
        <is>
          <t>37</t>
        </is>
      </c>
      <c r="B39" s="11" t="inlineStr">
        <is>
          <t>藤甲</t>
        </is>
      </c>
      <c r="C39" s="6" t="inlineStr">
        <is>
          <t>护甲</t>
        </is>
      </c>
      <c r="D39" s="8" t="n">
        <v>500</v>
      </c>
      <c r="E39" s="8" t="n">
        <v>15</v>
      </c>
      <c r="F39" s="8" t="n">
        <v>0</v>
      </c>
      <c r="G39" s="8" t="n">
        <v>5</v>
      </c>
      <c r="H39" s="8" t="n">
        <v>0</v>
      </c>
      <c r="I39" s="8" t="n">
        <v>0</v>
      </c>
      <c r="J39" s="8" t="n">
        <v>0</v>
      </c>
      <c r="K39" s="8" t="n">
        <v>2</v>
      </c>
      <c r="L39" s="14" t="inlineStr"/>
    </row>
    <row r="40">
      <c r="A40" s="8" t="inlineStr">
        <is>
          <t>38</t>
        </is>
      </c>
      <c r="B40" s="11" t="inlineStr">
        <is>
          <t>冰灵回响</t>
        </is>
      </c>
      <c r="C40" s="6" t="inlineStr">
        <is>
          <t>武器</t>
        </is>
      </c>
      <c r="D40" s="8" t="n">
        <v>1650</v>
      </c>
      <c r="E40" s="8" t="n">
        <v>0</v>
      </c>
      <c r="F40" s="8" t="n">
        <v>16</v>
      </c>
      <c r="G40" s="8" t="n">
        <v>2</v>
      </c>
      <c r="H40" s="8" t="n">
        <v>4</v>
      </c>
      <c r="I40" s="8" t="n">
        <v>2</v>
      </c>
      <c r="J40" s="8" t="n">
        <v>1</v>
      </c>
      <c r="K40" s="8" t="n">
        <v>5</v>
      </c>
      <c r="L40" s="14" t="inlineStr"/>
    </row>
    <row r="41">
      <c r="A41" s="8" t="inlineStr">
        <is>
          <t>39</t>
        </is>
      </c>
      <c r="B41" s="11" t="inlineStr">
        <is>
          <t>灵冰头盔</t>
        </is>
      </c>
      <c r="C41" s="6" t="inlineStr">
        <is>
          <t>头盔</t>
        </is>
      </c>
      <c r="D41" s="8" t="n">
        <v>800</v>
      </c>
      <c r="E41" s="8" t="n">
        <v>17</v>
      </c>
      <c r="F41" s="8" t="n">
        <v>2</v>
      </c>
      <c r="G41" s="8" t="n">
        <v>7</v>
      </c>
      <c r="H41" s="8" t="n">
        <v>5</v>
      </c>
      <c r="I41" s="8" t="n">
        <v>1</v>
      </c>
      <c r="J41" s="8" t="n">
        <v>1</v>
      </c>
      <c r="K41" s="8" t="n">
        <v>3</v>
      </c>
      <c r="L41" s="14" t="inlineStr"/>
    </row>
    <row r="42">
      <c r="A42" s="8" t="inlineStr">
        <is>
          <t>40</t>
        </is>
      </c>
      <c r="B42" s="9" t="inlineStr">
        <is>
          <t>符石之剑</t>
        </is>
      </c>
      <c r="C42" s="6" t="inlineStr">
        <is>
          <t>武器</t>
        </is>
      </c>
      <c r="D42" s="8" t="n">
        <v>900</v>
      </c>
      <c r="E42" s="8" t="n">
        <v>8</v>
      </c>
      <c r="F42" s="8" t="n">
        <v>8</v>
      </c>
      <c r="G42" s="8" t="n">
        <v>8</v>
      </c>
      <c r="H42" s="8" t="n">
        <v>8</v>
      </c>
      <c r="I42" s="8" t="n">
        <v>8</v>
      </c>
      <c r="J42" s="8" t="n">
        <v>4</v>
      </c>
      <c r="K42" s="8" t="n">
        <v>8</v>
      </c>
      <c r="L42" s="14" t="inlineStr"/>
    </row>
    <row r="43">
      <c r="A43" s="8" t="inlineStr">
        <is>
          <t>41</t>
        </is>
      </c>
      <c r="B43" s="9" t="inlineStr">
        <is>
          <t>巨石之铠</t>
        </is>
      </c>
      <c r="C43" s="6" t="inlineStr">
        <is>
          <t>护甲</t>
        </is>
      </c>
      <c r="D43" s="8" t="n">
        <v>900</v>
      </c>
      <c r="E43" s="8" t="n">
        <v>35</v>
      </c>
      <c r="F43" s="8" t="n">
        <v>0</v>
      </c>
      <c r="G43" s="8" t="n">
        <v>16</v>
      </c>
      <c r="H43" s="8" t="n">
        <v>0</v>
      </c>
      <c r="I43" s="8" t="n">
        <v>0</v>
      </c>
      <c r="J43" s="8" t="n">
        <v>0</v>
      </c>
      <c r="K43" s="8" t="n">
        <v>0</v>
      </c>
      <c r="L43" s="14" t="inlineStr"/>
    </row>
    <row r="44">
      <c r="A44" s="8" t="inlineStr">
        <is>
          <t>42</t>
        </is>
      </c>
      <c r="B44" s="9" t="inlineStr">
        <is>
          <t>岩之心</t>
        </is>
      </c>
      <c r="C44" s="6" t="inlineStr">
        <is>
          <t>饰品</t>
        </is>
      </c>
      <c r="D44" s="8" t="n">
        <v>1000</v>
      </c>
      <c r="E44" s="8" t="n">
        <v>3</v>
      </c>
      <c r="F44" s="8" t="n">
        <v>0</v>
      </c>
      <c r="G44" s="8" t="n">
        <v>8</v>
      </c>
      <c r="H44" s="8" t="n">
        <v>0</v>
      </c>
      <c r="I44" s="8" t="n">
        <v>0</v>
      </c>
      <c r="J44" s="8" t="n">
        <v>0</v>
      </c>
      <c r="K44" s="8" t="n">
        <v>0</v>
      </c>
      <c r="L44" s="14" t="inlineStr"/>
    </row>
    <row r="45">
      <c r="A45" s="8" t="inlineStr">
        <is>
          <t>43</t>
        </is>
      </c>
      <c r="B45" s="9" t="inlineStr">
        <is>
          <t>斫岩巨刃</t>
        </is>
      </c>
      <c r="C45" s="6" t="inlineStr">
        <is>
          <t>武器</t>
        </is>
      </c>
      <c r="D45" s="8" t="n">
        <v>900</v>
      </c>
      <c r="E45" s="8" t="n">
        <v>10</v>
      </c>
      <c r="F45" s="8" t="n">
        <v>12</v>
      </c>
      <c r="G45" s="8" t="n">
        <v>0</v>
      </c>
      <c r="H45" s="8" t="n">
        <v>0</v>
      </c>
      <c r="I45" s="8" t="n">
        <v>5</v>
      </c>
      <c r="J45" s="8" t="n">
        <v>3</v>
      </c>
      <c r="K45" s="8" t="n">
        <v>0</v>
      </c>
      <c r="L45" s="14" t="inlineStr"/>
    </row>
    <row r="46" customFormat="1" s="5">
      <c r="A46" s="8" t="inlineStr">
        <is>
          <t>44</t>
        </is>
      </c>
      <c r="B46" s="10" t="inlineStr">
        <is>
          <t>探险者斗篷</t>
        </is>
      </c>
      <c r="C46" s="6" t="inlineStr">
        <is>
          <t>护甲</t>
        </is>
      </c>
      <c r="D46" s="8" t="n">
        <v>1400</v>
      </c>
      <c r="E46" s="8" t="n">
        <v>42</v>
      </c>
      <c r="F46" s="8" t="n">
        <v>5</v>
      </c>
      <c r="G46" s="8" t="n">
        <v>12</v>
      </c>
      <c r="H46" s="8" t="n">
        <v>3</v>
      </c>
      <c r="I46" s="8" t="n">
        <v>3</v>
      </c>
      <c r="J46" s="8" t="n">
        <v>0</v>
      </c>
      <c r="K46" s="8" t="n">
        <v>6</v>
      </c>
      <c r="L46" s="14" t="inlineStr"/>
    </row>
    <row r="47" customFormat="1" s="5">
      <c r="A47" s="8" t="inlineStr">
        <is>
          <t>45</t>
        </is>
      </c>
      <c r="B47" s="10" t="inlineStr">
        <is>
          <t>玄铁轻刀</t>
        </is>
      </c>
      <c r="C47" s="6" t="inlineStr">
        <is>
          <t>武器</t>
        </is>
      </c>
      <c r="D47" s="8" t="n">
        <v>900</v>
      </c>
      <c r="E47" s="8" t="n">
        <v>0</v>
      </c>
      <c r="F47" s="8" t="n">
        <v>18</v>
      </c>
      <c r="G47" s="8" t="n">
        <v>0</v>
      </c>
      <c r="H47" s="8" t="n">
        <v>0</v>
      </c>
      <c r="I47" s="8" t="n">
        <v>8</v>
      </c>
      <c r="J47" s="8" t="n">
        <v>3</v>
      </c>
      <c r="K47" s="8" t="n">
        <v>6</v>
      </c>
      <c r="L47" s="14" t="inlineStr"/>
    </row>
    <row r="48" customFormat="1" s="3">
      <c r="A48" s="8" t="inlineStr">
        <is>
          <t>46</t>
        </is>
      </c>
      <c r="B48" s="11" t="inlineStr">
        <is>
          <t>上古岩铠</t>
        </is>
      </c>
      <c r="C48" s="6" t="inlineStr">
        <is>
          <t>护甲</t>
        </is>
      </c>
      <c r="D48" s="8" t="n">
        <v>1900</v>
      </c>
      <c r="E48" s="8" t="n">
        <v>60</v>
      </c>
      <c r="F48" s="8" t="n">
        <v>0</v>
      </c>
      <c r="G48" s="8" t="n">
        <v>24</v>
      </c>
      <c r="H48" s="8" t="n">
        <v>0</v>
      </c>
      <c r="I48" s="8" t="n">
        <v>3</v>
      </c>
      <c r="J48" s="8" t="n">
        <v>0</v>
      </c>
      <c r="K48" s="8" t="n">
        <v>0</v>
      </c>
      <c r="L48" s="14" t="inlineStr">
        <is>
          <t>套装【黑曜石盾刃 + 黑曜石头盔 + 上古岩铠】｜被动｜磐石｜增加20点格挡；最终受伤 -20</t>
        </is>
      </c>
    </row>
    <row r="49" customFormat="1" s="3">
      <c r="A49" s="8" t="inlineStr">
        <is>
          <t>47</t>
        </is>
      </c>
      <c r="B49" s="11" t="inlineStr">
        <is>
          <t>灼火地煞</t>
        </is>
      </c>
      <c r="C49" s="6" t="inlineStr">
        <is>
          <t>武器</t>
        </is>
      </c>
      <c r="D49" s="8" t="n">
        <v>2200</v>
      </c>
      <c r="E49" s="8" t="n">
        <v>0</v>
      </c>
      <c r="F49" s="8" t="n">
        <v>25</v>
      </c>
      <c r="G49" s="8" t="n">
        <v>0</v>
      </c>
      <c r="H49" s="8" t="n">
        <v>0</v>
      </c>
      <c r="I49" s="8" t="n">
        <v>10</v>
      </c>
      <c r="J49" s="8" t="n">
        <v>5</v>
      </c>
      <c r="K49" s="8" t="n">
        <v>8</v>
      </c>
      <c r="L49" s="14" t="inlineStr">
        <is>
          <t>套装【灼火地煞 + 炎阳明珠】｜主动｜灼炎领域｜耗能30｜CD15｜附伤增加0.5*攻击伤害和0.1*最大能量真实伤害，敌方获得重伤，持续8回合；普攻附加 0.5*攻击 伤害；普攻附加 0.1*最大能量 真实伤害；治疗 -50%</t>
        </is>
      </c>
    </row>
    <row r="50" customFormat="1" s="4">
      <c r="A50" s="8" t="inlineStr">
        <is>
          <t>48</t>
        </is>
      </c>
      <c r="B50" s="16" t="inlineStr">
        <is>
          <t>隐秘-亘古守卫之靴</t>
        </is>
      </c>
      <c r="C50" s="6" t="inlineStr">
        <is>
          <t>鞋子</t>
        </is>
      </c>
      <c r="D50" s="8" t="n">
        <v>3000</v>
      </c>
      <c r="E50" s="8" t="n">
        <v>24</v>
      </c>
      <c r="F50" s="8" t="n">
        <v>0</v>
      </c>
      <c r="G50" s="8" t="n">
        <v>12</v>
      </c>
      <c r="H50" s="8" t="n">
        <v>8</v>
      </c>
      <c r="I50" s="8" t="n">
        <v>5</v>
      </c>
      <c r="J50" s="8" t="n">
        <v>1</v>
      </c>
      <c r="K50" s="8" t="n">
        <v>3</v>
      </c>
      <c r="L50" s="14" t="inlineStr">
        <is>
          <t>装备技能：主动｜亘古庇佑｜耗能20｜CD20｜增加100%最终受伤减免，持续2回合；最终受伤 -100%</t>
        </is>
      </c>
    </row>
    <row r="51" customFormat="1" s="3">
      <c r="A51" s="8" t="inlineStr">
        <is>
          <t>49</t>
        </is>
      </c>
      <c r="B51" s="11" t="inlineStr">
        <is>
          <t>炎阳明珠</t>
        </is>
      </c>
      <c r="C51" s="6" t="inlineStr">
        <is>
          <t>饰品</t>
        </is>
      </c>
      <c r="D51" s="8" t="n">
        <v>2000</v>
      </c>
      <c r="E51" s="8" t="n">
        <v>0</v>
      </c>
      <c r="F51" s="8" t="n">
        <v>8</v>
      </c>
      <c r="G51" s="8" t="n">
        <v>0</v>
      </c>
      <c r="H51" s="8" t="n">
        <v>6</v>
      </c>
      <c r="I51" s="8" t="n">
        <v>4</v>
      </c>
      <c r="J51" s="8" t="n">
        <v>6</v>
      </c>
      <c r="K51" s="8" t="n">
        <v>6</v>
      </c>
      <c r="L51" s="14" t="inlineStr">
        <is>
          <t>套装【灼火地煞 + 炎阳明珠】｜主动｜灼炎领域｜耗能30｜CD15｜附伤增加0.5*攻击伤害和0.1*最大能量真实伤害，敌方获得重伤，持续8回合；普攻附加 0.5*攻击 伤害；普攻附加 0.1*最大能量 真实伤害；治疗 -50%</t>
        </is>
      </c>
    </row>
    <row r="52" customFormat="1" s="3">
      <c r="A52" s="8" t="inlineStr">
        <is>
          <t>50</t>
        </is>
      </c>
      <c r="B52" s="11" t="inlineStr">
        <is>
          <t>黑曜石盾刃</t>
        </is>
      </c>
      <c r="C52" s="6" t="inlineStr">
        <is>
          <t>武器</t>
        </is>
      </c>
      <c r="D52" s="8" t="n">
        <v>2300</v>
      </c>
      <c r="E52" s="8" t="n">
        <v>10</v>
      </c>
      <c r="F52" s="8" t="n">
        <v>20</v>
      </c>
      <c r="G52" s="8" t="n">
        <v>8</v>
      </c>
      <c r="H52" s="8" t="n">
        <v>0</v>
      </c>
      <c r="I52" s="8" t="n">
        <v>10</v>
      </c>
      <c r="J52" s="8" t="n">
        <v>2</v>
      </c>
      <c r="K52" s="8" t="n">
        <v>0</v>
      </c>
      <c r="L52" s="14" t="inlineStr">
        <is>
          <t>套装【黑曜石盾刃 + 黑曜石头盔 + 上古岩铠】｜被动｜磐石｜增加20点格挡；最终受伤 -20</t>
        </is>
      </c>
    </row>
    <row r="53" customFormat="1" s="5">
      <c r="A53" s="8" t="inlineStr">
        <is>
          <t>51</t>
        </is>
      </c>
      <c r="B53" s="10" t="inlineStr">
        <is>
          <t>狂暴战锤</t>
        </is>
      </c>
      <c r="C53" s="6" t="inlineStr">
        <is>
          <t>武器</t>
        </is>
      </c>
      <c r="D53" s="8" t="n">
        <v>1900</v>
      </c>
      <c r="E53" s="8" t="n">
        <v>0</v>
      </c>
      <c r="F53" s="8" t="n">
        <v>20</v>
      </c>
      <c r="G53" s="8" t="n">
        <v>0</v>
      </c>
      <c r="H53" s="8" t="n">
        <v>0</v>
      </c>
      <c r="I53" s="8" t="n">
        <v>8</v>
      </c>
      <c r="J53" s="8" t="n">
        <v>4</v>
      </c>
      <c r="K53" s="8" t="n">
        <v>6</v>
      </c>
      <c r="L53" s="14" t="inlineStr"/>
    </row>
    <row r="54" customFormat="1" s="5">
      <c r="A54" s="8" t="inlineStr">
        <is>
          <t>52</t>
        </is>
      </c>
      <c r="B54" s="10" t="inlineStr">
        <is>
          <t>黑曜石头盔</t>
        </is>
      </c>
      <c r="C54" s="6" t="inlineStr">
        <is>
          <t>头盔</t>
        </is>
      </c>
      <c r="D54" s="8" t="n">
        <v>1500</v>
      </c>
      <c r="E54" s="8" t="n">
        <v>18</v>
      </c>
      <c r="F54" s="8" t="n">
        <v>2</v>
      </c>
      <c r="G54" s="8" t="n">
        <v>8</v>
      </c>
      <c r="H54" s="8" t="n">
        <v>3</v>
      </c>
      <c r="I54" s="8" t="n">
        <v>3</v>
      </c>
      <c r="J54" s="8" t="n">
        <v>2</v>
      </c>
      <c r="K54" s="8" t="n">
        <v>1</v>
      </c>
      <c r="L54" s="14" t="inlineStr">
        <is>
          <t>套装【黑曜石盾刃 + 黑曜石头盔 + 上古岩铠】｜被动｜磐石｜增加20点格挡；最终受伤 -20</t>
        </is>
      </c>
    </row>
    <row r="55">
      <c r="A55" s="8" t="inlineStr">
        <is>
          <t>53</t>
        </is>
      </c>
      <c r="B55" s="17" t="inlineStr">
        <is>
          <t>璞玉护目镜</t>
        </is>
      </c>
      <c r="C55" s="6" t="inlineStr">
        <is>
          <t>头盔</t>
        </is>
      </c>
      <c r="D55" s="8" t="n">
        <v>1700</v>
      </c>
      <c r="E55" s="8" t="n">
        <v>12</v>
      </c>
      <c r="F55" s="8" t="n">
        <v>3</v>
      </c>
      <c r="G55" s="8" t="n">
        <v>6</v>
      </c>
      <c r="H55" s="8" t="n">
        <v>8</v>
      </c>
      <c r="I55" s="8" t="n">
        <v>3</v>
      </c>
      <c r="J55" s="8" t="n">
        <v>3</v>
      </c>
      <c r="K55" s="8" t="n">
        <v>4</v>
      </c>
      <c r="L55" s="14" t="inlineStr"/>
    </row>
    <row r="56">
      <c r="A56" s="8" t="inlineStr">
        <is>
          <t>54</t>
        </is>
      </c>
      <c r="B56" s="9" t="inlineStr">
        <is>
          <t>腐朽弯刀</t>
        </is>
      </c>
      <c r="C56" s="6" t="inlineStr">
        <is>
          <t>武器</t>
        </is>
      </c>
      <c r="D56" s="8" t="n">
        <v>1000</v>
      </c>
      <c r="E56" s="8" t="n">
        <v>5</v>
      </c>
      <c r="F56" s="8" t="n">
        <v>18</v>
      </c>
      <c r="G56" s="8" t="n">
        <v>4</v>
      </c>
      <c r="H56" s="8" t="n">
        <v>3</v>
      </c>
      <c r="I56" s="8" t="n">
        <v>2</v>
      </c>
      <c r="J56" s="8" t="n">
        <v>1</v>
      </c>
      <c r="K56" s="8" t="n">
        <v>2</v>
      </c>
      <c r="L56" s="14" t="inlineStr"/>
    </row>
    <row r="57">
      <c r="A57" s="8" t="inlineStr">
        <is>
          <t>55</t>
        </is>
      </c>
      <c r="B57" s="9" t="inlineStr">
        <is>
          <t>魔蝙之刃</t>
        </is>
      </c>
      <c r="C57" s="6" t="inlineStr">
        <is>
          <t>武器</t>
        </is>
      </c>
      <c r="D57" s="8" t="n">
        <v>1000</v>
      </c>
      <c r="E57" s="8" t="n">
        <v>0</v>
      </c>
      <c r="F57" s="8" t="n">
        <v>16</v>
      </c>
      <c r="G57" s="8" t="n">
        <v>0</v>
      </c>
      <c r="H57" s="8" t="n">
        <v>10</v>
      </c>
      <c r="I57" s="8" t="n">
        <v>6</v>
      </c>
      <c r="J57" s="8" t="n">
        <v>2</v>
      </c>
      <c r="K57" s="8" t="n">
        <v>4</v>
      </c>
      <c r="L57" s="14" t="inlineStr"/>
    </row>
    <row r="58" customFormat="1" s="5">
      <c r="A58" s="8" t="inlineStr">
        <is>
          <t>56</t>
        </is>
      </c>
      <c r="B58" s="10" t="inlineStr">
        <is>
          <t>魔将战斧</t>
        </is>
      </c>
      <c r="C58" s="6" t="inlineStr">
        <is>
          <t>武器</t>
        </is>
      </c>
      <c r="D58" s="8" t="n">
        <v>2000</v>
      </c>
      <c r="E58" s="8" t="n">
        <v>15</v>
      </c>
      <c r="F58" s="8" t="n">
        <v>24</v>
      </c>
      <c r="G58" s="8" t="n">
        <v>4</v>
      </c>
      <c r="H58" s="8" t="n">
        <v>0</v>
      </c>
      <c r="I58" s="8" t="n">
        <v>6</v>
      </c>
      <c r="J58" s="8" t="n">
        <v>2</v>
      </c>
      <c r="K58" s="8" t="n">
        <v>3</v>
      </c>
      <c r="L58" s="14" t="inlineStr"/>
    </row>
    <row r="59" customFormat="1" s="3">
      <c r="A59" s="8" t="inlineStr">
        <is>
          <t>57</t>
        </is>
      </c>
      <c r="B59" s="11" t="inlineStr">
        <is>
          <t>魔王巨刃</t>
        </is>
      </c>
      <c r="C59" s="6" t="inlineStr">
        <is>
          <t>武器</t>
        </is>
      </c>
      <c r="D59" s="8" t="n">
        <v>3000</v>
      </c>
      <c r="E59" s="8" t="n">
        <v>12</v>
      </c>
      <c r="F59" s="8" t="n">
        <v>28</v>
      </c>
      <c r="G59" s="8" t="n">
        <v>5</v>
      </c>
      <c r="H59" s="8" t="n">
        <v>3</v>
      </c>
      <c r="I59" s="8" t="n">
        <v>12</v>
      </c>
      <c r="J59" s="8" t="n">
        <v>11</v>
      </c>
      <c r="K59" s="8" t="n">
        <v>0</v>
      </c>
      <c r="L59" s="14" t="inlineStr">
        <is>
          <t>套装【魔王巨刃 + 亡者战魂】｜主动｜魔王斩｜耗能5｜CD5｜造成(1.2*攻击+1*穿透)伤害；造成攻击×1.2 + 破甲伤害</t>
        </is>
      </c>
    </row>
    <row r="60">
      <c r="A60" s="8" t="inlineStr">
        <is>
          <t>58</t>
        </is>
      </c>
      <c r="B60" s="9" t="inlineStr">
        <is>
          <t>死亡铠甲</t>
        </is>
      </c>
      <c r="C60" s="6" t="inlineStr">
        <is>
          <t>护甲</t>
        </is>
      </c>
      <c r="D60" s="8" t="n">
        <v>1200</v>
      </c>
      <c r="E60" s="8" t="n">
        <v>40</v>
      </c>
      <c r="F60" s="8" t="n">
        <v>0</v>
      </c>
      <c r="G60" s="8" t="n">
        <v>15</v>
      </c>
      <c r="H60" s="8" t="n">
        <v>8</v>
      </c>
      <c r="I60" s="8" t="n">
        <v>2</v>
      </c>
      <c r="J60" s="8" t="n">
        <v>0</v>
      </c>
      <c r="K60" s="8" t="n">
        <v>0</v>
      </c>
      <c r="L60" s="14" t="inlineStr"/>
    </row>
    <row r="61" customFormat="1" s="3">
      <c r="A61" s="8" t="inlineStr">
        <is>
          <t>59</t>
        </is>
      </c>
      <c r="B61" s="11" t="inlineStr">
        <is>
          <t>统领者战袍</t>
        </is>
      </c>
      <c r="C61" s="6" t="inlineStr">
        <is>
          <t>护甲</t>
        </is>
      </c>
      <c r="D61" s="8" t="n">
        <v>3500</v>
      </c>
      <c r="E61" s="8" t="n">
        <v>55</v>
      </c>
      <c r="F61" s="8" t="n">
        <v>8</v>
      </c>
      <c r="G61" s="8" t="n">
        <v>20</v>
      </c>
      <c r="H61" s="8" t="n">
        <v>5</v>
      </c>
      <c r="I61" s="8" t="n">
        <v>5</v>
      </c>
      <c r="J61" s="8" t="n">
        <v>0</v>
      </c>
      <c r="K61" s="8" t="n">
        <v>8</v>
      </c>
      <c r="L61" s="14" t="inlineStr">
        <is>
          <t>套装【统领者战袍 + 统领者战靴 + 统帅之盔】｜被动｜统御者｜增加10%最终伤害增幅；最终伤害 +10%</t>
        </is>
      </c>
    </row>
    <row r="62">
      <c r="A62" s="8" t="inlineStr">
        <is>
          <t>60</t>
        </is>
      </c>
      <c r="B62" s="10" t="inlineStr">
        <is>
          <t>孤魂之心</t>
        </is>
      </c>
      <c r="C62" s="6" t="inlineStr">
        <is>
          <t>饰品</t>
        </is>
      </c>
      <c r="D62" s="8" t="n">
        <v>1500</v>
      </c>
      <c r="E62" s="8" t="n">
        <v>10</v>
      </c>
      <c r="F62" s="8" t="n">
        <v>5</v>
      </c>
      <c r="G62" s="8" t="n">
        <v>2</v>
      </c>
      <c r="H62" s="8" t="n">
        <v>10</v>
      </c>
      <c r="I62" s="8" t="n">
        <v>3</v>
      </c>
      <c r="J62" s="8" t="n">
        <v>2</v>
      </c>
      <c r="K62" s="8" t="n">
        <v>3</v>
      </c>
      <c r="L62" s="14" t="inlineStr"/>
    </row>
    <row r="63" customFormat="1" s="3">
      <c r="A63" s="8" t="inlineStr">
        <is>
          <t>61</t>
        </is>
      </c>
      <c r="B63" s="11" t="inlineStr">
        <is>
          <t>亡者战魂</t>
        </is>
      </c>
      <c r="C63" s="6" t="inlineStr">
        <is>
          <t>饰品</t>
        </is>
      </c>
      <c r="D63" s="8" t="n">
        <v>2500</v>
      </c>
      <c r="E63" s="8" t="n">
        <v>0</v>
      </c>
      <c r="F63" s="8" t="n">
        <v>10</v>
      </c>
      <c r="G63" s="8" t="n">
        <v>5</v>
      </c>
      <c r="H63" s="8" t="n">
        <v>15</v>
      </c>
      <c r="I63" s="8" t="n">
        <v>5</v>
      </c>
      <c r="J63" s="8" t="n">
        <v>3</v>
      </c>
      <c r="K63" s="8" t="n">
        <v>4</v>
      </c>
      <c r="L63" s="14" t="inlineStr">
        <is>
          <t>套装【魔王巨刃 + 亡者战魂】｜主动｜魔王斩｜耗能5｜CD5｜造成(1.2*攻击+1*穿透)伤害；造成攻击×1.2 + 破甲伤害</t>
        </is>
      </c>
    </row>
    <row r="64" customFormat="1" s="4">
      <c r="A64" s="8" t="inlineStr">
        <is>
          <t>62</t>
        </is>
      </c>
      <c r="B64" s="16" t="inlineStr">
        <is>
          <t>隐秘-终界谕令残篇</t>
        </is>
      </c>
      <c r="C64" s="6" t="inlineStr">
        <is>
          <t>饰品</t>
        </is>
      </c>
      <c r="D64" s="8" t="n">
        <v>5000</v>
      </c>
      <c r="E64" s="8" t="n">
        <v>15</v>
      </c>
      <c r="F64" s="8" t="n">
        <v>12</v>
      </c>
      <c r="G64" s="8" t="n">
        <v>2</v>
      </c>
      <c r="H64" s="8" t="n">
        <v>18</v>
      </c>
      <c r="I64" s="8" t="n">
        <v>8</v>
      </c>
      <c r="J64" s="8" t="n">
        <v>4</v>
      </c>
      <c r="K64" s="8" t="n">
        <v>12</v>
      </c>
      <c r="L64" s="14" t="inlineStr">
        <is>
          <t>装备技能：主动｜无量通行｜耗能10｜CD20｜增加(10+饰品强化等级)%的敏捷，并必中，持续3回合；敏捷提升 10+饰品强化等级%；施加必中</t>
        </is>
      </c>
    </row>
    <row r="65">
      <c r="A65" s="8" t="inlineStr">
        <is>
          <t>63</t>
        </is>
      </c>
      <c r="B65" s="15" t="inlineStr">
        <is>
          <t>亡灵巡旅者</t>
        </is>
      </c>
      <c r="C65" s="6" t="inlineStr">
        <is>
          <t>鞋子</t>
        </is>
      </c>
      <c r="D65" s="8" t="n">
        <v>2000</v>
      </c>
      <c r="E65" s="8" t="n">
        <v>10</v>
      </c>
      <c r="F65" s="8" t="n">
        <v>4</v>
      </c>
      <c r="G65" s="8" t="n">
        <v>8</v>
      </c>
      <c r="H65" s="8" t="n">
        <v>8</v>
      </c>
      <c r="I65" s="8" t="n">
        <v>3</v>
      </c>
      <c r="J65" s="8" t="n">
        <v>2</v>
      </c>
      <c r="K65" s="8" t="n">
        <v>12</v>
      </c>
      <c r="L65" s="14" t="inlineStr"/>
    </row>
    <row r="66" customFormat="1" s="3">
      <c r="A66" s="8" t="inlineStr">
        <is>
          <t>64</t>
        </is>
      </c>
      <c r="B66" s="11" t="inlineStr">
        <is>
          <t>恐惧游行</t>
        </is>
      </c>
      <c r="C66" s="6" t="inlineStr">
        <is>
          <t>鞋子</t>
        </is>
      </c>
      <c r="D66" s="8" t="n">
        <v>3000</v>
      </c>
      <c r="E66" s="8" t="n">
        <v>6</v>
      </c>
      <c r="F66" s="8" t="n">
        <v>6</v>
      </c>
      <c r="G66" s="8" t="n">
        <v>6</v>
      </c>
      <c r="H66" s="8" t="n">
        <v>16</v>
      </c>
      <c r="I66" s="8" t="n">
        <v>6</v>
      </c>
      <c r="J66" s="8" t="n">
        <v>3</v>
      </c>
      <c r="K66" s="8" t="n">
        <v>16</v>
      </c>
      <c r="L66" s="14" t="inlineStr"/>
    </row>
    <row r="67" customFormat="1" s="3">
      <c r="A67" s="8" t="inlineStr">
        <is>
          <t>65</t>
        </is>
      </c>
      <c r="B67" s="11" t="inlineStr">
        <is>
          <t>统领者战靴</t>
        </is>
      </c>
      <c r="C67" s="6" t="inlineStr">
        <is>
          <t>鞋子</t>
        </is>
      </c>
      <c r="D67" s="8" t="n">
        <v>2300</v>
      </c>
      <c r="E67" s="8" t="n">
        <v>12</v>
      </c>
      <c r="F67" s="8" t="n">
        <v>3</v>
      </c>
      <c r="G67" s="8" t="n">
        <v>9</v>
      </c>
      <c r="H67" s="8" t="n">
        <v>6</v>
      </c>
      <c r="I67" s="8" t="n">
        <v>4</v>
      </c>
      <c r="J67" s="8" t="n">
        <v>2</v>
      </c>
      <c r="K67" s="8" t="n">
        <v>10</v>
      </c>
      <c r="L67" s="14" t="inlineStr">
        <is>
          <t>套装【统领者战袍 + 统领者战靴 + 统帅之盔】｜被动｜统御者｜增加10%最终伤害增幅；最终伤害 +10%</t>
        </is>
      </c>
    </row>
    <row r="68" customFormat="1" s="3">
      <c r="A68" s="8" t="inlineStr">
        <is>
          <t>66</t>
        </is>
      </c>
      <c r="B68" s="11" t="inlineStr">
        <is>
          <t>统帅之盔</t>
        </is>
      </c>
      <c r="C68" s="6" t="inlineStr">
        <is>
          <t>头盔</t>
        </is>
      </c>
      <c r="D68" s="8" t="n">
        <v>2400</v>
      </c>
      <c r="E68" s="8" t="n">
        <v>15</v>
      </c>
      <c r="F68" s="8" t="n">
        <v>4</v>
      </c>
      <c r="G68" s="8" t="n">
        <v>10</v>
      </c>
      <c r="H68" s="8" t="n">
        <v>15</v>
      </c>
      <c r="I68" s="8" t="n">
        <v>4</v>
      </c>
      <c r="J68" s="8" t="n">
        <v>4</v>
      </c>
      <c r="K68" s="8" t="n">
        <v>6</v>
      </c>
      <c r="L68" s="14" t="inlineStr">
        <is>
          <t>套装【统领者战袍 + 统领者战靴 + 统帅之盔】｜被动｜统御者｜增加10%最终伤害增幅；最终伤害 +10%</t>
        </is>
      </c>
    </row>
    <row r="69">
      <c r="A69" s="8" t="inlineStr">
        <is>
          <t>67</t>
        </is>
      </c>
      <c r="B69" s="11" t="inlineStr">
        <is>
          <t>碎岩战靴</t>
        </is>
      </c>
      <c r="C69" s="6" t="inlineStr">
        <is>
          <t>鞋子</t>
        </is>
      </c>
      <c r="D69" s="8" t="n">
        <v>1500</v>
      </c>
      <c r="E69" s="8" t="n">
        <v>10</v>
      </c>
      <c r="F69" s="8" t="n">
        <v>3</v>
      </c>
      <c r="G69" s="8" t="n">
        <v>8</v>
      </c>
      <c r="H69" s="8" t="n">
        <v>2</v>
      </c>
      <c r="I69" s="8" t="n">
        <v>4</v>
      </c>
      <c r="J69" s="8" t="n">
        <v>4</v>
      </c>
      <c r="K69" s="8" t="n">
        <v>5</v>
      </c>
      <c r="L69" s="14" t="inlineStr"/>
    </row>
    <row r="70">
      <c r="A70" s="8" t="inlineStr">
        <is>
          <t>68</t>
        </is>
      </c>
      <c r="B70" s="9" t="inlineStr">
        <is>
          <t>武士之靴</t>
        </is>
      </c>
      <c r="C70" s="6" t="inlineStr">
        <is>
          <t>鞋子</t>
        </is>
      </c>
      <c r="D70" s="8" t="n">
        <v>1700</v>
      </c>
      <c r="E70" s="8" t="n">
        <v>8</v>
      </c>
      <c r="F70" s="8" t="n">
        <v>5</v>
      </c>
      <c r="G70" s="8" t="n">
        <v>6</v>
      </c>
      <c r="H70" s="8" t="n">
        <v>3</v>
      </c>
      <c r="I70" s="8" t="n">
        <v>4</v>
      </c>
      <c r="J70" s="8" t="n">
        <v>2</v>
      </c>
      <c r="K70" s="8" t="n">
        <v>6</v>
      </c>
      <c r="L70" s="14" t="inlineStr"/>
    </row>
    <row r="71" customFormat="1" s="3">
      <c r="A71" s="8" t="inlineStr">
        <is>
          <t>69</t>
        </is>
      </c>
      <c r="B71" s="11" t="inlineStr">
        <is>
          <t>恶魔之冕</t>
        </is>
      </c>
      <c r="C71" s="6" t="inlineStr">
        <is>
          <t>头盔</t>
        </is>
      </c>
      <c r="D71" s="8" t="n">
        <v>2600</v>
      </c>
      <c r="E71" s="8" t="n">
        <v>10</v>
      </c>
      <c r="F71" s="8" t="n">
        <v>6</v>
      </c>
      <c r="G71" s="8" t="n">
        <v>6</v>
      </c>
      <c r="H71" s="8" t="n">
        <v>12</v>
      </c>
      <c r="I71" s="8" t="n">
        <v>8</v>
      </c>
      <c r="J71" s="8" t="n">
        <v>6</v>
      </c>
      <c r="K71" s="8" t="n">
        <v>10</v>
      </c>
      <c r="L71" s="14" t="inlineStr"/>
    </row>
    <row r="72" customFormat="1" s="5">
      <c r="A72" s="8" t="inlineStr">
        <is>
          <t>70</t>
        </is>
      </c>
      <c r="B72" s="10" t="inlineStr">
        <is>
          <t>魔将铠甲</t>
        </is>
      </c>
      <c r="C72" s="6" t="inlineStr">
        <is>
          <t>护甲</t>
        </is>
      </c>
      <c r="D72" s="8" t="n">
        <v>2200</v>
      </c>
      <c r="E72" s="8" t="n">
        <v>48</v>
      </c>
      <c r="F72" s="8" t="n">
        <v>6</v>
      </c>
      <c r="G72" s="8" t="n">
        <v>18</v>
      </c>
      <c r="H72" s="8" t="n">
        <v>3</v>
      </c>
      <c r="I72" s="8" t="n">
        <v>3</v>
      </c>
      <c r="J72" s="8" t="n">
        <v>1</v>
      </c>
      <c r="K72" s="8" t="n">
        <v>6</v>
      </c>
      <c r="L72" s="14" t="inlineStr"/>
    </row>
    <row r="73" customFormat="1" s="3">
      <c r="A73" s="8" t="inlineStr">
        <is>
          <t>71</t>
        </is>
      </c>
      <c r="B73" s="11" t="inlineStr">
        <is>
          <t>繁荣腐化之心</t>
        </is>
      </c>
      <c r="C73" s="6" t="inlineStr">
        <is>
          <t>饰品</t>
        </is>
      </c>
      <c r="D73" s="8" t="n">
        <v>3000</v>
      </c>
      <c r="E73" s="8" t="n">
        <v>18</v>
      </c>
      <c r="F73" s="8" t="n">
        <v>0</v>
      </c>
      <c r="G73" s="8" t="n">
        <v>18</v>
      </c>
      <c r="H73" s="8" t="n">
        <v>18</v>
      </c>
      <c r="I73" s="8" t="n">
        <v>0</v>
      </c>
      <c r="J73" s="8" t="n">
        <v>0</v>
      </c>
      <c r="K73" s="8" t="n">
        <v>0</v>
      </c>
      <c r="L73" s="14" t="inlineStr">
        <is>
          <t>套装【繁荣腐化之心 + 繁荣腐化铠甲】｜主动｜繁荣不息｜耗能护甲强化等级｜CD30｜每回合恢复(0.1*护甲强化等级)%最大生命值，持续30回合，并立刻恢复3%最大生命值；每回合恢复(0.1*护甲强化等级)%生命值；回复最大生命×0.03生命</t>
        </is>
      </c>
    </row>
    <row r="74" customFormat="1" s="3">
      <c r="A74" s="8" t="inlineStr">
        <is>
          <t>72</t>
        </is>
      </c>
      <c r="B74" s="11" t="inlineStr">
        <is>
          <t>繁荣腐化铠甲</t>
        </is>
      </c>
      <c r="C74" s="6" t="inlineStr">
        <is>
          <t>护甲</t>
        </is>
      </c>
      <c r="D74" s="8" t="n">
        <v>3300</v>
      </c>
      <c r="E74" s="8" t="n">
        <v>68</v>
      </c>
      <c r="F74" s="8" t="n">
        <v>0</v>
      </c>
      <c r="G74" s="8" t="n">
        <v>28</v>
      </c>
      <c r="H74" s="8" t="n">
        <v>0</v>
      </c>
      <c r="I74" s="8" t="n">
        <v>0</v>
      </c>
      <c r="J74" s="8" t="n">
        <v>0</v>
      </c>
      <c r="K74" s="8" t="n">
        <v>0</v>
      </c>
      <c r="L74" s="14" t="inlineStr">
        <is>
          <t>套装【繁荣腐化之心 + 繁荣腐化铠甲】｜主动｜繁荣不息｜耗能护甲强化等级｜CD30｜每回合恢复(0.1*护甲强化等级)%最大生命值，持续30回合，并立刻恢复3%最大生命值；每回合恢复(0.1*护甲强化等级)%生命值；回复最大生命×0.03生命</t>
        </is>
      </c>
    </row>
    <row r="75">
      <c r="A75" s="8" t="inlineStr">
        <is>
          <t>73</t>
        </is>
      </c>
      <c r="B75" s="9" t="inlineStr">
        <is>
          <t>飓风长鞭</t>
        </is>
      </c>
      <c r="C75" s="6" t="inlineStr">
        <is>
          <t>武器</t>
        </is>
      </c>
      <c r="D75" s="8" t="n">
        <v>1200</v>
      </c>
      <c r="E75" s="8" t="n">
        <v>0</v>
      </c>
      <c r="F75" s="8" t="n">
        <v>20</v>
      </c>
      <c r="G75" s="8" t="n">
        <v>0</v>
      </c>
      <c r="H75" s="8" t="n">
        <v>3</v>
      </c>
      <c r="I75" s="8" t="n">
        <v>6</v>
      </c>
      <c r="J75" s="8" t="n">
        <v>3</v>
      </c>
      <c r="K75" s="8" t="n">
        <v>8</v>
      </c>
      <c r="L75" s="14" t="inlineStr"/>
    </row>
    <row r="76">
      <c r="A76" s="8" t="inlineStr">
        <is>
          <t>74</t>
        </is>
      </c>
      <c r="B76" s="9" t="inlineStr">
        <is>
          <t>风暴短刃</t>
        </is>
      </c>
      <c r="C76" s="6" t="inlineStr">
        <is>
          <t>武器</t>
        </is>
      </c>
      <c r="D76" s="8" t="n">
        <v>1200</v>
      </c>
      <c r="E76" s="8" t="n">
        <v>0</v>
      </c>
      <c r="F76" s="8" t="n">
        <v>22</v>
      </c>
      <c r="G76" s="8" t="n">
        <v>0</v>
      </c>
      <c r="H76" s="8" t="n">
        <v>3</v>
      </c>
      <c r="I76" s="8" t="n">
        <v>8</v>
      </c>
      <c r="J76" s="8" t="n">
        <v>3</v>
      </c>
      <c r="K76" s="8" t="n">
        <v>8</v>
      </c>
      <c r="L76" s="14" t="inlineStr"/>
    </row>
    <row r="77" customFormat="1" s="5">
      <c r="A77" s="8" t="inlineStr">
        <is>
          <t>75</t>
        </is>
      </c>
      <c r="B77" s="10" t="inlineStr">
        <is>
          <t>定风战锤</t>
        </is>
      </c>
      <c r="C77" s="6" t="inlineStr">
        <is>
          <t>武器</t>
        </is>
      </c>
      <c r="D77" s="8" t="n">
        <v>2300</v>
      </c>
      <c r="E77" s="8" t="n">
        <v>12</v>
      </c>
      <c r="F77" s="8" t="n">
        <v>25</v>
      </c>
      <c r="G77" s="8" t="n">
        <v>5</v>
      </c>
      <c r="H77" s="8" t="n">
        <v>8</v>
      </c>
      <c r="I77" s="8" t="n">
        <v>9</v>
      </c>
      <c r="J77" s="8" t="n">
        <v>2</v>
      </c>
      <c r="K77" s="8" t="n">
        <v>3</v>
      </c>
      <c r="L77" s="14" t="inlineStr"/>
    </row>
    <row r="78">
      <c r="A78" s="8" t="inlineStr">
        <is>
          <t>76</t>
        </is>
      </c>
      <c r="B78" s="9" t="inlineStr">
        <is>
          <t>猩红铠甲</t>
        </is>
      </c>
      <c r="C78" s="6" t="inlineStr">
        <is>
          <t>护甲</t>
        </is>
      </c>
      <c r="D78" s="8" t="n">
        <v>1200</v>
      </c>
      <c r="E78" s="8" t="n">
        <v>45</v>
      </c>
      <c r="F78" s="8" t="n">
        <v>1</v>
      </c>
      <c r="G78" s="8" t="n">
        <v>16</v>
      </c>
      <c r="H78" s="8" t="n">
        <v>6</v>
      </c>
      <c r="I78" s="8" t="n">
        <v>0</v>
      </c>
      <c r="J78" s="8" t="n">
        <v>2</v>
      </c>
      <c r="K78" s="8" t="n">
        <v>4</v>
      </c>
      <c r="L78" s="14" t="inlineStr"/>
    </row>
    <row r="79" customFormat="1" s="5">
      <c r="A79" s="8" t="inlineStr">
        <is>
          <t>77</t>
        </is>
      </c>
      <c r="B79" s="10" t="inlineStr">
        <is>
          <t>定风重铠</t>
        </is>
      </c>
      <c r="C79" s="6" t="inlineStr">
        <is>
          <t>护甲</t>
        </is>
      </c>
      <c r="D79" s="8" t="n">
        <v>2300</v>
      </c>
      <c r="E79" s="8" t="n">
        <v>60</v>
      </c>
      <c r="F79" s="8" t="n">
        <v>0</v>
      </c>
      <c r="G79" s="8" t="n">
        <v>24</v>
      </c>
      <c r="H79" s="8" t="n">
        <v>1</v>
      </c>
      <c r="I79" s="8" t="n">
        <v>0</v>
      </c>
      <c r="J79" s="8" t="n">
        <v>2</v>
      </c>
      <c r="K79" s="8" t="n">
        <v>0</v>
      </c>
      <c r="L79" s="14" t="inlineStr"/>
    </row>
    <row r="80" customFormat="1" s="3">
      <c r="A80" s="8" t="inlineStr">
        <is>
          <t>78</t>
        </is>
      </c>
      <c r="B80" s="11" t="inlineStr">
        <is>
          <t>堕风神甲</t>
        </is>
      </c>
      <c r="C80" s="6" t="inlineStr">
        <is>
          <t>护甲</t>
        </is>
      </c>
      <c r="D80" s="8" t="n">
        <v>2800</v>
      </c>
      <c r="E80" s="8" t="n">
        <v>70</v>
      </c>
      <c r="F80" s="8" t="n">
        <v>6</v>
      </c>
      <c r="G80" s="8" t="n">
        <v>24</v>
      </c>
      <c r="H80" s="8" t="n">
        <v>8</v>
      </c>
      <c r="I80" s="8" t="n">
        <v>4</v>
      </c>
      <c r="J80" s="8" t="n">
        <v>3</v>
      </c>
      <c r="K80" s="8" t="n">
        <v>6</v>
      </c>
      <c r="L80" s="14" t="inlineStr">
        <is>
          <t>套装【堕风神甲 + 飓风神石】｜被动｜神风｜增加10%敏捷；敏捷+10%</t>
        </is>
      </c>
    </row>
    <row r="81">
      <c r="A81" s="8" t="inlineStr">
        <is>
          <t>79</t>
        </is>
      </c>
      <c r="B81" s="10" t="inlineStr">
        <is>
          <t>避风珠</t>
        </is>
      </c>
      <c r="C81" s="6" t="inlineStr">
        <is>
          <t>饰品</t>
        </is>
      </c>
      <c r="D81" s="8" t="n">
        <v>1500</v>
      </c>
      <c r="E81" s="8" t="n">
        <v>5</v>
      </c>
      <c r="F81" s="8" t="n">
        <v>3</v>
      </c>
      <c r="G81" s="8" t="n">
        <v>3</v>
      </c>
      <c r="H81" s="8" t="n">
        <v>12</v>
      </c>
      <c r="I81" s="8" t="n">
        <v>3</v>
      </c>
      <c r="J81" s="8" t="n">
        <v>4</v>
      </c>
      <c r="K81" s="8" t="n">
        <v>8</v>
      </c>
      <c r="L81" s="14" t="inlineStr"/>
    </row>
    <row r="82" customFormat="1" s="3">
      <c r="A82" s="8" t="inlineStr">
        <is>
          <t>80</t>
        </is>
      </c>
      <c r="B82" s="11" t="inlineStr">
        <is>
          <t>飓风神石</t>
        </is>
      </c>
      <c r="C82" s="6" t="inlineStr">
        <is>
          <t>饰品</t>
        </is>
      </c>
      <c r="D82" s="8" t="n">
        <v>3000</v>
      </c>
      <c r="E82" s="8" t="n">
        <v>5</v>
      </c>
      <c r="F82" s="8" t="n">
        <v>8</v>
      </c>
      <c r="G82" s="8" t="n">
        <v>5</v>
      </c>
      <c r="H82" s="8" t="n">
        <v>20</v>
      </c>
      <c r="I82" s="8" t="n">
        <v>8</v>
      </c>
      <c r="J82" s="8" t="n">
        <v>4</v>
      </c>
      <c r="K82" s="8" t="n">
        <v>15</v>
      </c>
      <c r="L82" s="14" t="inlineStr">
        <is>
          <t>套装【堕风神甲 + 飓风神石】｜被动｜神风｜增加10%敏捷；敏捷+10%</t>
        </is>
      </c>
    </row>
    <row r="83" customFormat="1" s="3">
      <c r="A83" s="8" t="inlineStr">
        <is>
          <t>81</t>
        </is>
      </c>
      <c r="B83" s="11" t="inlineStr">
        <is>
          <t>逆行斩</t>
        </is>
      </c>
      <c r="C83" s="6" t="inlineStr">
        <is>
          <t>武器</t>
        </is>
      </c>
      <c r="D83" s="8" t="n">
        <v>3300</v>
      </c>
      <c r="E83" s="8" t="n">
        <v>0</v>
      </c>
      <c r="F83" s="8" t="n">
        <v>32</v>
      </c>
      <c r="G83" s="8" t="n">
        <v>2</v>
      </c>
      <c r="H83" s="8" t="n">
        <v>8</v>
      </c>
      <c r="I83" s="8" t="n">
        <v>14</v>
      </c>
      <c r="J83" s="8" t="n">
        <v>9</v>
      </c>
      <c r="K83" s="8" t="n">
        <v>16</v>
      </c>
      <c r="L83" s="14" t="inlineStr"/>
    </row>
    <row r="84" customFormat="1" s="4">
      <c r="A84" s="8" t="inlineStr">
        <is>
          <t>82</t>
        </is>
      </c>
      <c r="B84" s="16" t="inlineStr">
        <is>
          <t>隐秘-风暴降临之铠</t>
        </is>
      </c>
      <c r="C84" s="6" t="inlineStr">
        <is>
          <t>护甲</t>
        </is>
      </c>
      <c r="D84" s="8" t="n">
        <v>4000</v>
      </c>
      <c r="E84" s="8" t="n">
        <v>70</v>
      </c>
      <c r="F84" s="8" t="n">
        <v>10</v>
      </c>
      <c r="G84" s="8" t="n">
        <v>26</v>
      </c>
      <c r="H84" s="8" t="n">
        <v>14</v>
      </c>
      <c r="I84" s="8" t="n">
        <v>8</v>
      </c>
      <c r="J84" s="8" t="n">
        <v>4</v>
      </c>
      <c r="K84" s="8" t="n">
        <v>14</v>
      </c>
      <c r="L84" s="14" t="inlineStr">
        <is>
          <t>装备技能：主动｜风暴降临｜耗能100｜CD100｜附伤增加（0.07*敏捷+武器强化等级）真实伤害，持续50回合；普攻附加 0.07*敏捷+武器强化 真实伤害</t>
        </is>
      </c>
    </row>
    <row r="85" customFormat="1" s="3">
      <c r="A85" s="8" t="inlineStr">
        <is>
          <t>83</t>
        </is>
      </c>
      <c r="B85" s="11" t="inlineStr">
        <is>
          <t>苍岚战盔</t>
        </is>
      </c>
      <c r="C85" s="6" t="inlineStr">
        <is>
          <t>头盔</t>
        </is>
      </c>
      <c r="D85" s="8" t="n">
        <v>2500</v>
      </c>
      <c r="E85" s="8" t="n">
        <v>16</v>
      </c>
      <c r="F85" s="8" t="n">
        <v>3</v>
      </c>
      <c r="G85" s="8" t="n">
        <v>12</v>
      </c>
      <c r="H85" s="8" t="n">
        <v>12</v>
      </c>
      <c r="I85" s="8" t="n">
        <v>5</v>
      </c>
      <c r="J85" s="8" t="n">
        <v>5</v>
      </c>
      <c r="K85" s="8" t="n">
        <v>8</v>
      </c>
      <c r="L85" s="14" t="inlineStr"/>
    </row>
    <row r="86" customFormat="1" s="3">
      <c r="A86" s="8" t="inlineStr">
        <is>
          <t>84</t>
        </is>
      </c>
      <c r="B86" s="11" t="inlineStr">
        <is>
          <t>灵风鬓冠</t>
        </is>
      </c>
      <c r="C86" s="6" t="inlineStr">
        <is>
          <t>头盔</t>
        </is>
      </c>
      <c r="D86" s="8" t="n">
        <v>3000</v>
      </c>
      <c r="E86" s="8" t="n">
        <v>16</v>
      </c>
      <c r="F86" s="8" t="n">
        <v>4</v>
      </c>
      <c r="G86" s="8" t="n">
        <v>9</v>
      </c>
      <c r="H86" s="8" t="n">
        <v>20</v>
      </c>
      <c r="I86" s="8" t="n">
        <v>7</v>
      </c>
      <c r="J86" s="8" t="n">
        <v>7</v>
      </c>
      <c r="K86" s="8" t="n">
        <v>13</v>
      </c>
      <c r="L86" s="14" t="inlineStr">
        <is>
          <t>套装【灵风鬓冠 + 灵风法杖】｜主动｜灵风｜耗能1｜CD10｜眩晕敌方2回合；施加眩晕</t>
        </is>
      </c>
    </row>
    <row r="87" customFormat="1" s="3">
      <c r="A87" s="8" t="inlineStr">
        <is>
          <t>85</t>
        </is>
      </c>
      <c r="B87" s="11" t="inlineStr">
        <is>
          <t>啸风玄履</t>
        </is>
      </c>
      <c r="C87" s="6" t="inlineStr">
        <is>
          <t>鞋子</t>
        </is>
      </c>
      <c r="D87" s="8" t="n">
        <v>2700</v>
      </c>
      <c r="E87" s="8" t="n">
        <v>20</v>
      </c>
      <c r="F87" s="8" t="n">
        <v>3</v>
      </c>
      <c r="G87" s="8" t="n">
        <v>14</v>
      </c>
      <c r="H87" s="8" t="n">
        <v>5</v>
      </c>
      <c r="I87" s="8" t="n">
        <v>3</v>
      </c>
      <c r="J87" s="8" t="n">
        <v>3</v>
      </c>
      <c r="K87" s="8" t="n">
        <v>14</v>
      </c>
      <c r="L87" s="14" t="inlineStr"/>
    </row>
    <row r="88" customFormat="1" s="3">
      <c r="A88" s="8" t="inlineStr">
        <is>
          <t>86</t>
        </is>
      </c>
      <c r="B88" s="11" t="inlineStr">
        <is>
          <t>仙灵之轻盈</t>
        </is>
      </c>
      <c r="C88" s="6" t="inlineStr">
        <is>
          <t>鞋子</t>
        </is>
      </c>
      <c r="D88" s="8" t="n">
        <v>2600</v>
      </c>
      <c r="E88" s="8" t="n">
        <v>12</v>
      </c>
      <c r="F88" s="8" t="n">
        <v>2</v>
      </c>
      <c r="G88" s="8" t="n">
        <v>8</v>
      </c>
      <c r="H88" s="8" t="n">
        <v>12</v>
      </c>
      <c r="I88" s="8" t="n">
        <v>3</v>
      </c>
      <c r="J88" s="8" t="n">
        <v>2</v>
      </c>
      <c r="K88" s="8" t="n">
        <v>20</v>
      </c>
      <c r="L88" s="14" t="inlineStr"/>
    </row>
    <row r="89" customFormat="1" s="3">
      <c r="A89" s="8" t="inlineStr">
        <is>
          <t>87</t>
        </is>
      </c>
      <c r="B89" s="11" t="inlineStr">
        <is>
          <t>九天罡风靴</t>
        </is>
      </c>
      <c r="C89" s="6" t="inlineStr">
        <is>
          <t>鞋子</t>
        </is>
      </c>
      <c r="D89" s="8" t="n">
        <v>3000</v>
      </c>
      <c r="E89" s="8" t="n">
        <v>18</v>
      </c>
      <c r="F89" s="8" t="n">
        <v>3</v>
      </c>
      <c r="G89" s="8" t="n">
        <v>12</v>
      </c>
      <c r="H89" s="8" t="n">
        <v>10</v>
      </c>
      <c r="I89" s="8" t="n">
        <v>4</v>
      </c>
      <c r="J89" s="8" t="n">
        <v>4</v>
      </c>
      <c r="K89" s="8" t="n">
        <v>16</v>
      </c>
      <c r="L89" s="14" t="inlineStr"/>
    </row>
    <row r="90">
      <c r="A90" s="8" t="inlineStr">
        <is>
          <t>88</t>
        </is>
      </c>
      <c r="B90" s="11" t="inlineStr">
        <is>
          <t>风暴战刃</t>
        </is>
      </c>
      <c r="C90" s="6" t="inlineStr">
        <is>
          <t>饰品</t>
        </is>
      </c>
      <c r="D90" s="8" t="n">
        <v>2900</v>
      </c>
      <c r="E90" s="8" t="n">
        <v>0</v>
      </c>
      <c r="F90" s="8" t="n">
        <v>28</v>
      </c>
      <c r="G90" s="8" t="n">
        <v>0</v>
      </c>
      <c r="H90" s="8" t="n">
        <v>6</v>
      </c>
      <c r="I90" s="8" t="n">
        <v>11</v>
      </c>
      <c r="J90" s="8" t="n">
        <v>6</v>
      </c>
      <c r="K90" s="8" t="n">
        <v>14</v>
      </c>
      <c r="L90" s="14" t="inlineStr"/>
    </row>
    <row r="91" customFormat="1" s="3">
      <c r="A91" s="8" t="inlineStr">
        <is>
          <t>89</t>
        </is>
      </c>
      <c r="B91" s="11" t="inlineStr">
        <is>
          <t>灵风法杖</t>
        </is>
      </c>
      <c r="C91" s="6" t="inlineStr">
        <is>
          <t>武器</t>
        </is>
      </c>
      <c r="D91" s="8" t="n">
        <v>2800</v>
      </c>
      <c r="E91" s="8" t="n">
        <v>3</v>
      </c>
      <c r="F91" s="8" t="n">
        <v>26</v>
      </c>
      <c r="G91" s="8" t="n">
        <v>2</v>
      </c>
      <c r="H91" s="8" t="n">
        <v>15</v>
      </c>
      <c r="I91" s="8" t="n">
        <v>8</v>
      </c>
      <c r="J91" s="8" t="n">
        <v>10</v>
      </c>
      <c r="K91" s="8" t="n">
        <v>12</v>
      </c>
      <c r="L91" s="14" t="inlineStr">
        <is>
          <t>套装【灵风鬓冠 + 灵风法杖】｜主动｜灵风｜耗能1｜CD10｜眩晕敌方2回合；施加眩晕</t>
        </is>
      </c>
    </row>
    <row r="92" customFormat="1" s="3">
      <c r="A92" s="8" t="inlineStr">
        <is>
          <t>90</t>
        </is>
      </c>
      <c r="B92" s="11" t="inlineStr">
        <is>
          <t>狂风长戟</t>
        </is>
      </c>
      <c r="C92" s="6" t="inlineStr">
        <is>
          <t>武器</t>
        </is>
      </c>
      <c r="D92" s="8" t="n">
        <v>2800</v>
      </c>
      <c r="E92" s="8" t="n">
        <v>0</v>
      </c>
      <c r="F92" s="8" t="n">
        <v>32</v>
      </c>
      <c r="G92" s="8" t="n">
        <v>0</v>
      </c>
      <c r="H92" s="8" t="n">
        <v>0</v>
      </c>
      <c r="I92" s="8" t="n">
        <v>12</v>
      </c>
      <c r="J92" s="8" t="n">
        <v>8</v>
      </c>
      <c r="K92" s="8" t="n">
        <v>11</v>
      </c>
      <c r="L92" s="14" t="inlineStr"/>
    </row>
    <row r="93">
      <c r="A93" s="8" t="inlineStr">
        <is>
          <t>91</t>
        </is>
      </c>
      <c r="B93" s="10" t="inlineStr">
        <is>
          <t>狂热核心</t>
        </is>
      </c>
      <c r="C93" s="6" t="inlineStr">
        <is>
          <t>饰品</t>
        </is>
      </c>
      <c r="D93" s="8" t="n">
        <v>2800</v>
      </c>
      <c r="E93" s="8" t="n">
        <v>0</v>
      </c>
      <c r="F93" s="8" t="n">
        <v>12</v>
      </c>
      <c r="G93" s="8" t="n">
        <v>0</v>
      </c>
      <c r="H93" s="8" t="n">
        <v>0</v>
      </c>
      <c r="I93" s="8" t="n">
        <v>8</v>
      </c>
      <c r="J93" s="8" t="n">
        <v>8</v>
      </c>
      <c r="K93" s="8" t="n">
        <v>8</v>
      </c>
      <c r="L93" s="14" t="inlineStr"/>
    </row>
    <row r="94">
      <c r="A94" s="8" t="inlineStr">
        <is>
          <t>92</t>
        </is>
      </c>
      <c r="B94" s="17" t="inlineStr">
        <is>
          <t>游离项链</t>
        </is>
      </c>
      <c r="C94" s="6" t="inlineStr">
        <is>
          <t>饰品</t>
        </is>
      </c>
      <c r="D94" s="8" t="n">
        <v>2500</v>
      </c>
      <c r="E94" s="8" t="n">
        <v>0</v>
      </c>
      <c r="F94" s="8" t="n">
        <v>0</v>
      </c>
      <c r="G94" s="8" t="n">
        <v>0</v>
      </c>
      <c r="H94" s="8" t="n">
        <v>0</v>
      </c>
      <c r="I94" s="8" t="n">
        <v>3</v>
      </c>
      <c r="J94" s="8" t="n">
        <v>4</v>
      </c>
      <c r="K94" s="8" t="n">
        <v>20</v>
      </c>
      <c r="L94" s="14" t="inlineStr"/>
    </row>
    <row r="95" customFormat="1" s="3">
      <c r="A95" s="8" t="inlineStr">
        <is>
          <t>93</t>
        </is>
      </c>
      <c r="B95" s="11" t="inlineStr">
        <is>
          <t>飓风灵石</t>
        </is>
      </c>
      <c r="C95" s="6" t="inlineStr">
        <is>
          <t>武器</t>
        </is>
      </c>
      <c r="D95" s="8" t="n">
        <v>2600</v>
      </c>
      <c r="E95" s="8" t="n">
        <v>4</v>
      </c>
      <c r="F95" s="8" t="n">
        <v>7</v>
      </c>
      <c r="G95" s="8" t="n">
        <v>4</v>
      </c>
      <c r="H95" s="8" t="n">
        <v>18</v>
      </c>
      <c r="I95" s="8" t="n">
        <v>7</v>
      </c>
      <c r="J95" s="8" t="n">
        <v>3</v>
      </c>
      <c r="K95" s="8" t="n">
        <v>13</v>
      </c>
      <c r="L95" s="14" t="inlineStr"/>
    </row>
    <row r="96">
      <c r="A96" s="8" t="inlineStr">
        <is>
          <t>94</t>
        </is>
      </c>
      <c r="B96" s="9" t="inlineStr">
        <is>
          <t>堕刃</t>
        </is>
      </c>
      <c r="C96" s="6" t="inlineStr">
        <is>
          <t>武器</t>
        </is>
      </c>
      <c r="D96" s="8" t="n">
        <v>1500</v>
      </c>
      <c r="E96" s="8" t="n">
        <v>2</v>
      </c>
      <c r="F96" s="8" t="n">
        <v>23</v>
      </c>
      <c r="G96" s="8" t="n">
        <v>2</v>
      </c>
      <c r="H96" s="8" t="n">
        <v>8</v>
      </c>
      <c r="I96" s="8" t="n">
        <v>8</v>
      </c>
      <c r="J96" s="8" t="n">
        <v>6</v>
      </c>
      <c r="K96" s="8" t="n">
        <v>6</v>
      </c>
      <c r="L96" s="14" t="inlineStr"/>
    </row>
    <row r="97">
      <c r="A97" s="8" t="inlineStr">
        <is>
          <t>95</t>
        </is>
      </c>
      <c r="B97" s="10" t="inlineStr">
        <is>
          <t>极光战刃</t>
        </is>
      </c>
      <c r="C97" s="6" t="inlineStr">
        <is>
          <t>武器</t>
        </is>
      </c>
      <c r="D97" s="8" t="n">
        <v>2600</v>
      </c>
      <c r="E97" s="8" t="n">
        <v>0</v>
      </c>
      <c r="F97" s="8" t="n">
        <v>25</v>
      </c>
      <c r="G97" s="8" t="n">
        <v>0</v>
      </c>
      <c r="H97" s="8" t="n">
        <v>10</v>
      </c>
      <c r="I97" s="8" t="n">
        <v>10</v>
      </c>
      <c r="J97" s="8" t="n">
        <v>6</v>
      </c>
      <c r="K97" s="8" t="n">
        <v>15</v>
      </c>
      <c r="L97" s="14" t="inlineStr"/>
    </row>
    <row r="98" customFormat="1" s="3">
      <c r="A98" s="8" t="inlineStr">
        <is>
          <t>96</t>
        </is>
      </c>
      <c r="B98" s="11" t="inlineStr">
        <is>
          <t>一寸朝夕</t>
        </is>
      </c>
      <c r="C98" s="6" t="inlineStr">
        <is>
          <t>武器</t>
        </is>
      </c>
      <c r="D98" s="8" t="n">
        <v>4000</v>
      </c>
      <c r="E98" s="8" t="n">
        <v>0</v>
      </c>
      <c r="F98" s="8" t="n">
        <v>38</v>
      </c>
      <c r="G98" s="8" t="n">
        <v>0</v>
      </c>
      <c r="H98" s="8" t="n">
        <v>10</v>
      </c>
      <c r="I98" s="8" t="n">
        <v>18</v>
      </c>
      <c r="J98" s="8" t="n">
        <v>12</v>
      </c>
      <c r="K98" s="8" t="n">
        <v>12</v>
      </c>
      <c r="L98" s="14" t="inlineStr">
        <is>
          <t>套装【一寸朝夕 + 一寸暮色】｜被动｜光阴之力｜提升15防御，敏捷，破甲；攻击+15；破甲+15；敏捷+15</t>
        </is>
      </c>
    </row>
    <row r="99">
      <c r="A99" s="8" t="inlineStr">
        <is>
          <t>97</t>
        </is>
      </c>
      <c r="B99" s="9" t="inlineStr">
        <is>
          <t>夜色轻袍</t>
        </is>
      </c>
      <c r="C99" s="6" t="inlineStr">
        <is>
          <t>护甲</t>
        </is>
      </c>
      <c r="D99" s="8" t="n">
        <v>1450</v>
      </c>
      <c r="E99" s="8" t="n">
        <v>50</v>
      </c>
      <c r="F99" s="8" t="n">
        <v>3</v>
      </c>
      <c r="G99" s="8" t="n">
        <v>15</v>
      </c>
      <c r="H99" s="8" t="n">
        <v>5</v>
      </c>
      <c r="I99" s="8" t="n">
        <v>2</v>
      </c>
      <c r="J99" s="8" t="n">
        <v>2</v>
      </c>
      <c r="K99" s="8" t="n">
        <v>8</v>
      </c>
      <c r="L99" s="14" t="inlineStr"/>
    </row>
    <row r="100">
      <c r="A100" s="8" t="inlineStr">
        <is>
          <t>98</t>
        </is>
      </c>
      <c r="B100" s="9" t="inlineStr">
        <is>
          <t>合金之铠</t>
        </is>
      </c>
      <c r="C100" s="6" t="inlineStr">
        <is>
          <t>护甲</t>
        </is>
      </c>
      <c r="D100" s="8" t="n">
        <v>2700</v>
      </c>
      <c r="E100" s="8" t="n">
        <v>70</v>
      </c>
      <c r="F100" s="8" t="n">
        <v>0</v>
      </c>
      <c r="G100" s="8" t="n">
        <v>25</v>
      </c>
      <c r="H100" s="8" t="n">
        <v>0</v>
      </c>
      <c r="I100" s="8" t="n">
        <v>1</v>
      </c>
      <c r="J100" s="8" t="n">
        <v>1</v>
      </c>
      <c r="K100" s="8" t="n">
        <v>0</v>
      </c>
      <c r="L100" s="14" t="inlineStr"/>
    </row>
    <row r="101" customFormat="1" s="3">
      <c r="A101" s="8" t="inlineStr">
        <is>
          <t>99</t>
        </is>
      </c>
      <c r="B101" s="11" t="inlineStr">
        <is>
          <t>一寸暮色</t>
        </is>
      </c>
      <c r="C101" s="6" t="inlineStr">
        <is>
          <t>护甲</t>
        </is>
      </c>
      <c r="D101" s="8" t="n">
        <v>4000</v>
      </c>
      <c r="E101" s="8" t="n">
        <v>85</v>
      </c>
      <c r="F101" s="8" t="n">
        <v>4</v>
      </c>
      <c r="G101" s="8" t="n">
        <v>30</v>
      </c>
      <c r="H101" s="8" t="n">
        <v>15</v>
      </c>
      <c r="I101" s="8" t="n">
        <v>4</v>
      </c>
      <c r="J101" s="8" t="n">
        <v>4</v>
      </c>
      <c r="K101" s="8" t="n">
        <v>6</v>
      </c>
      <c r="L101" s="14" t="inlineStr">
        <is>
          <t>套装【一寸朝夕 + 一寸暮色】｜被动｜光阴之力｜提升15防御，敏捷，破甲；攻击+15；破甲+15；敏捷+15</t>
        </is>
      </c>
    </row>
    <row r="102" customFormat="1" s="3">
      <c r="A102" s="8" t="inlineStr">
        <is>
          <t>100</t>
        </is>
      </c>
      <c r="B102" s="11" t="inlineStr">
        <is>
          <t>暗夜宝珠</t>
        </is>
      </c>
      <c r="C102" s="6" t="inlineStr">
        <is>
          <t>饰品</t>
        </is>
      </c>
      <c r="D102" s="8" t="n">
        <v>3500</v>
      </c>
      <c r="E102" s="8" t="n">
        <v>16</v>
      </c>
      <c r="F102" s="8" t="n">
        <v>2</v>
      </c>
      <c r="G102" s="8" t="n">
        <v>12</v>
      </c>
      <c r="H102" s="8" t="n">
        <v>10</v>
      </c>
      <c r="I102" s="8" t="n">
        <v>2</v>
      </c>
      <c r="J102" s="8" t="n">
        <v>12</v>
      </c>
      <c r="K102" s="8" t="n">
        <v>10</v>
      </c>
      <c r="L102" s="14" t="inlineStr"/>
    </row>
    <row r="103" customFormat="1" s="3">
      <c r="A103" s="8" t="inlineStr">
        <is>
          <t>101</t>
        </is>
      </c>
      <c r="B103" s="11" t="inlineStr">
        <is>
          <t>白昼宝珠</t>
        </is>
      </c>
      <c r="C103" s="6" t="inlineStr">
        <is>
          <t>饰品</t>
        </is>
      </c>
      <c r="D103" s="8" t="n">
        <v>3500</v>
      </c>
      <c r="E103" s="8" t="n">
        <v>2</v>
      </c>
      <c r="F103" s="8" t="n">
        <v>16</v>
      </c>
      <c r="G103" s="8" t="n">
        <v>0</v>
      </c>
      <c r="H103" s="8" t="n">
        <v>20</v>
      </c>
      <c r="I103" s="8" t="n">
        <v>12</v>
      </c>
      <c r="J103" s="8" t="n">
        <v>2</v>
      </c>
      <c r="K103" s="8" t="n">
        <v>10</v>
      </c>
      <c r="L103" s="14" t="inlineStr"/>
    </row>
    <row r="104">
      <c r="A104" s="8" t="inlineStr">
        <is>
          <t>102</t>
        </is>
      </c>
      <c r="B104" s="16" t="inlineStr">
        <is>
          <t>隐秘-光暗边界</t>
        </is>
      </c>
      <c r="C104" s="6" t="inlineStr">
        <is>
          <t>武器</t>
        </is>
      </c>
      <c r="D104" s="8" t="n">
        <v>6000</v>
      </c>
      <c r="E104" s="8" t="n">
        <v>4</v>
      </c>
      <c r="F104" s="8" t="n">
        <v>40</v>
      </c>
      <c r="G104" s="8" t="n">
        <v>4</v>
      </c>
      <c r="H104" s="8" t="n">
        <v>16</v>
      </c>
      <c r="I104" s="8" t="n">
        <v>20</v>
      </c>
      <c r="J104" s="8" t="n">
        <v>15</v>
      </c>
      <c r="K104" s="8" t="n">
        <v>15</v>
      </c>
      <c r="L104" s="14" t="inlineStr">
        <is>
          <t>装备技能：主动｜光暗侵蚀｜耗能40｜CD8｜造成 攻击*1.5 + 最大能量*2 的伤害，并使自身最终受伤 -30%，持续4回合；造成攻击×1.5 + 最大能量×2固定伤害；最终受伤 -30%</t>
        </is>
      </c>
    </row>
    <row r="105" customFormat="1" s="3">
      <c r="A105" s="8" t="inlineStr">
        <is>
          <t>103</t>
        </is>
      </c>
      <c r="B105" s="11" t="inlineStr">
        <is>
          <t>晨露之冕</t>
        </is>
      </c>
      <c r="C105" s="6" t="inlineStr">
        <is>
          <t>头盔</t>
        </is>
      </c>
      <c r="D105" s="8" t="n">
        <v>3300</v>
      </c>
      <c r="E105" s="8" t="n">
        <v>15</v>
      </c>
      <c r="F105" s="8" t="n">
        <v>6</v>
      </c>
      <c r="G105" s="8" t="n">
        <v>13</v>
      </c>
      <c r="H105" s="8" t="n">
        <v>24</v>
      </c>
      <c r="I105" s="8" t="n">
        <v>8</v>
      </c>
      <c r="J105" s="8" t="n">
        <v>8</v>
      </c>
      <c r="K105" s="8" t="n">
        <v>11</v>
      </c>
      <c r="L105" s="14" t="inlineStr"/>
    </row>
    <row r="106" customFormat="1" s="3">
      <c r="A106" s="8" t="inlineStr">
        <is>
          <t>104</t>
        </is>
      </c>
      <c r="B106" s="11" t="inlineStr">
        <is>
          <t>暮光游行</t>
        </is>
      </c>
      <c r="C106" s="6" t="inlineStr">
        <is>
          <t>鞋子</t>
        </is>
      </c>
      <c r="D106" s="8" t="n">
        <v>3200</v>
      </c>
      <c r="E106" s="8" t="n">
        <v>20</v>
      </c>
      <c r="F106" s="8" t="n">
        <v>2</v>
      </c>
      <c r="G106" s="8" t="n">
        <v>15</v>
      </c>
      <c r="H106" s="8" t="n">
        <v>19</v>
      </c>
      <c r="I106" s="8" t="n">
        <v>8</v>
      </c>
      <c r="J106" s="8" t="n">
        <v>4</v>
      </c>
      <c r="K106" s="8" t="n">
        <v>17</v>
      </c>
      <c r="L106" s="14" t="inlineStr"/>
    </row>
    <row r="107" customFormat="1" s="5">
      <c r="A107" s="8" t="inlineStr">
        <is>
          <t>105</t>
        </is>
      </c>
      <c r="B107" s="10" t="inlineStr">
        <is>
          <t>巡猎者之刃</t>
        </is>
      </c>
      <c r="C107" s="6" t="inlineStr">
        <is>
          <t>武器</t>
        </is>
      </c>
      <c r="D107" s="8" t="n">
        <v>2700</v>
      </c>
      <c r="E107" s="8" t="n">
        <v>0</v>
      </c>
      <c r="F107" s="8" t="n">
        <v>27</v>
      </c>
      <c r="G107" s="8" t="n">
        <v>0</v>
      </c>
      <c r="H107" s="8" t="n">
        <v>3</v>
      </c>
      <c r="I107" s="8" t="n">
        <v>8</v>
      </c>
      <c r="J107" s="8" t="n">
        <v>8</v>
      </c>
      <c r="K107" s="8" t="n">
        <v>16</v>
      </c>
      <c r="L107" s="14" t="inlineStr"/>
    </row>
    <row r="108" customFormat="1" s="5">
      <c r="A108" s="8" t="inlineStr">
        <is>
          <t>106</t>
        </is>
      </c>
      <c r="B108" s="10" t="inlineStr">
        <is>
          <t>晨光之盾</t>
        </is>
      </c>
      <c r="C108" s="6" t="inlineStr">
        <is>
          <t>武器</t>
        </is>
      </c>
      <c r="D108" s="8" t="n">
        <v>3300</v>
      </c>
      <c r="E108" s="8" t="n">
        <v>18</v>
      </c>
      <c r="F108" s="8" t="n">
        <v>30</v>
      </c>
      <c r="G108" s="8" t="n">
        <v>8</v>
      </c>
      <c r="H108" s="8" t="n">
        <v>8</v>
      </c>
      <c r="I108" s="8" t="n">
        <v>15</v>
      </c>
      <c r="J108" s="8" t="n">
        <v>9</v>
      </c>
      <c r="K108" s="8" t="n">
        <v>5</v>
      </c>
      <c r="L108" s="14" t="inlineStr"/>
    </row>
    <row r="109" customFormat="1" s="3">
      <c r="A109" s="8" t="inlineStr">
        <is>
          <t>107</t>
        </is>
      </c>
      <c r="B109" s="11" t="inlineStr">
        <is>
          <t>光阴之剑</t>
        </is>
      </c>
      <c r="C109" s="6" t="inlineStr">
        <is>
          <t>武器</t>
        </is>
      </c>
      <c r="D109" s="8" t="n">
        <v>4000</v>
      </c>
      <c r="E109" s="8" t="n">
        <v>0</v>
      </c>
      <c r="F109" s="8" t="n">
        <v>40</v>
      </c>
      <c r="G109" s="8" t="n">
        <v>0</v>
      </c>
      <c r="H109" s="8" t="n">
        <v>15</v>
      </c>
      <c r="I109" s="8" t="n">
        <v>14</v>
      </c>
      <c r="J109" s="8" t="n">
        <v>14</v>
      </c>
      <c r="K109" s="8" t="n">
        <v>16</v>
      </c>
      <c r="L109" s="14" t="inlineStr"/>
    </row>
    <row r="110" customFormat="1" s="3">
      <c r="A110" s="8" t="inlineStr">
        <is>
          <t>108</t>
        </is>
      </c>
      <c r="B110" s="11" t="inlineStr">
        <is>
          <t>日月披挂</t>
        </is>
      </c>
      <c r="C110" s="6" t="inlineStr">
        <is>
          <t>护甲</t>
        </is>
      </c>
      <c r="D110" s="8" t="n">
        <v>4200</v>
      </c>
      <c r="E110" s="8" t="n">
        <v>80</v>
      </c>
      <c r="F110" s="8" t="n">
        <v>10</v>
      </c>
      <c r="G110" s="8" t="n">
        <v>26</v>
      </c>
      <c r="H110" s="8" t="n">
        <v>16</v>
      </c>
      <c r="I110" s="8" t="n">
        <v>5</v>
      </c>
      <c r="J110" s="8" t="n">
        <v>5</v>
      </c>
      <c r="K110" s="8" t="n">
        <v>5</v>
      </c>
      <c r="L110" s="14" t="inlineStr"/>
    </row>
    <row r="111">
      <c r="A111" s="8" t="inlineStr">
        <is>
          <t>109</t>
        </is>
      </c>
      <c r="B111" s="10" t="inlineStr">
        <is>
          <t>攀岩者之靴</t>
        </is>
      </c>
      <c r="C111" s="6" t="inlineStr">
        <is>
          <t>鞋子</t>
        </is>
      </c>
      <c r="D111" s="8" t="n">
        <v>1200</v>
      </c>
      <c r="E111" s="8" t="n">
        <v>10</v>
      </c>
      <c r="F111" s="8" t="n">
        <v>2</v>
      </c>
      <c r="G111" s="8" t="n">
        <v>6</v>
      </c>
      <c r="H111" s="8" t="n">
        <v>2</v>
      </c>
      <c r="I111" s="8" t="n">
        <v>2</v>
      </c>
      <c r="J111" s="8" t="n">
        <v>2</v>
      </c>
      <c r="K111" s="8" t="n">
        <v>8</v>
      </c>
      <c r="L111" s="14" t="inlineStr"/>
    </row>
    <row r="112">
      <c r="A112" s="8" t="inlineStr">
        <is>
          <t>110</t>
        </is>
      </c>
      <c r="B112" s="9" t="inlineStr">
        <is>
          <t>疾风靴</t>
        </is>
      </c>
      <c r="C112" s="6" t="inlineStr">
        <is>
          <t>鞋子</t>
        </is>
      </c>
      <c r="D112" s="8" t="n">
        <v>1850</v>
      </c>
      <c r="E112" s="8" t="n">
        <v>11</v>
      </c>
      <c r="F112" s="8" t="n">
        <v>2</v>
      </c>
      <c r="G112" s="8" t="n">
        <v>5</v>
      </c>
      <c r="H112" s="8" t="n">
        <v>2</v>
      </c>
      <c r="I112" s="8" t="n">
        <v>2</v>
      </c>
      <c r="J112" s="8" t="n">
        <v>2</v>
      </c>
      <c r="K112" s="8" t="n">
        <v>20</v>
      </c>
      <c r="L112" s="14" t="inlineStr"/>
    </row>
    <row r="113">
      <c r="A113" s="8" t="inlineStr">
        <is>
          <t>111</t>
        </is>
      </c>
      <c r="B113" s="10" t="inlineStr">
        <is>
          <t>晨露靴</t>
        </is>
      </c>
      <c r="C113" s="6" t="inlineStr">
        <is>
          <t>鞋子</t>
        </is>
      </c>
      <c r="D113" s="8" t="n">
        <v>2000</v>
      </c>
      <c r="E113" s="8" t="n">
        <v>14</v>
      </c>
      <c r="F113" s="8" t="n">
        <v>3</v>
      </c>
      <c r="G113" s="8" t="n">
        <v>10</v>
      </c>
      <c r="H113" s="8" t="n">
        <v>8</v>
      </c>
      <c r="I113" s="8" t="n">
        <v>3</v>
      </c>
      <c r="J113" s="8" t="n">
        <v>3</v>
      </c>
      <c r="K113" s="8" t="n">
        <v>13</v>
      </c>
      <c r="L113" s="14" t="inlineStr"/>
    </row>
    <row r="114">
      <c r="A114" s="8" t="inlineStr">
        <is>
          <t>112</t>
        </is>
      </c>
      <c r="B114" s="18" t="inlineStr">
        <is>
          <t>极炎飓风斩</t>
        </is>
      </c>
      <c r="C114" s="6" t="inlineStr">
        <is>
          <t>武器</t>
        </is>
      </c>
      <c r="D114" s="8" t="n">
        <v>5000</v>
      </c>
      <c r="E114" s="8" t="n">
        <v>0</v>
      </c>
      <c r="F114" s="8" t="n">
        <v>40</v>
      </c>
      <c r="G114" s="8" t="n">
        <v>0</v>
      </c>
      <c r="H114" s="8" t="n">
        <v>5</v>
      </c>
      <c r="I114" s="8" t="n">
        <v>18</v>
      </c>
      <c r="J114" s="8" t="n">
        <v>12</v>
      </c>
      <c r="K114" s="8" t="n">
        <v>18</v>
      </c>
      <c r="L114" s="14" t="inlineStr">
        <is>
          <t>装备技能：被动｜神风烈火｜攻击力提升30+0.06*能量；攻击+30+0.06×最大能量</t>
        </is>
      </c>
    </row>
    <row r="115">
      <c r="A115" s="8" t="inlineStr">
        <is>
          <t>113</t>
        </is>
      </c>
      <c r="B115" s="9" t="inlineStr">
        <is>
          <t>黑暗长戟</t>
        </is>
      </c>
      <c r="C115" s="6" t="inlineStr">
        <is>
          <t>武器</t>
        </is>
      </c>
      <c r="D115" s="8" t="n">
        <v>1750</v>
      </c>
      <c r="E115" s="8" t="n">
        <v>5</v>
      </c>
      <c r="F115" s="8" t="n">
        <v>24</v>
      </c>
      <c r="G115" s="8" t="n">
        <v>0</v>
      </c>
      <c r="H115" s="8" t="n">
        <v>5</v>
      </c>
      <c r="I115" s="8" t="n">
        <v>10</v>
      </c>
      <c r="J115" s="8" t="n">
        <v>9</v>
      </c>
      <c r="K115" s="8" t="n">
        <v>8</v>
      </c>
      <c r="L115" s="14" t="inlineStr"/>
    </row>
    <row r="116">
      <c r="A116" s="8" t="inlineStr">
        <is>
          <t>114</t>
        </is>
      </c>
      <c r="B116" s="10" t="inlineStr">
        <is>
          <t>魔猎之弓</t>
        </is>
      </c>
      <c r="C116" s="6" t="inlineStr">
        <is>
          <t>武器</t>
        </is>
      </c>
      <c r="D116" s="8" t="n">
        <v>2800</v>
      </c>
      <c r="E116" s="8" t="n">
        <v>0</v>
      </c>
      <c r="F116" s="8" t="n">
        <v>28</v>
      </c>
      <c r="G116" s="8" t="n">
        <v>0</v>
      </c>
      <c r="H116" s="8" t="n">
        <v>15</v>
      </c>
      <c r="I116" s="8" t="n">
        <v>15</v>
      </c>
      <c r="J116" s="8" t="n">
        <v>12</v>
      </c>
      <c r="K116" s="8" t="n">
        <v>12</v>
      </c>
      <c r="L116" s="14" t="inlineStr"/>
    </row>
    <row r="117">
      <c r="A117" s="8" t="inlineStr">
        <is>
          <t>115</t>
        </is>
      </c>
      <c r="B117" s="9" t="inlineStr">
        <is>
          <t>腥风铠甲</t>
        </is>
      </c>
      <c r="C117" s="6" t="inlineStr">
        <is>
          <t>护甲</t>
        </is>
      </c>
      <c r="D117" s="8" t="n">
        <v>1700</v>
      </c>
      <c r="E117" s="8" t="n">
        <v>80</v>
      </c>
      <c r="F117" s="8" t="n">
        <v>0</v>
      </c>
      <c r="G117" s="8" t="n">
        <v>20</v>
      </c>
      <c r="H117" s="8" t="n">
        <v>6</v>
      </c>
      <c r="I117" s="8" t="n">
        <v>3</v>
      </c>
      <c r="J117" s="8" t="n">
        <v>3</v>
      </c>
      <c r="K117" s="8" t="n">
        <v>3</v>
      </c>
      <c r="L117" s="14" t="inlineStr"/>
    </row>
    <row r="118">
      <c r="A118" s="8" t="inlineStr">
        <is>
          <t>116</t>
        </is>
      </c>
      <c r="B118" s="10" t="inlineStr">
        <is>
          <t>剑之极御</t>
        </is>
      </c>
      <c r="C118" s="6" t="inlineStr">
        <is>
          <t>护甲</t>
        </is>
      </c>
      <c r="D118" s="8" t="n">
        <v>2900</v>
      </c>
      <c r="E118" s="8" t="n">
        <v>70</v>
      </c>
      <c r="F118" s="8" t="n">
        <v>2</v>
      </c>
      <c r="G118" s="8" t="n">
        <v>30</v>
      </c>
      <c r="H118" s="8" t="n">
        <v>2</v>
      </c>
      <c r="I118" s="8" t="n">
        <v>3</v>
      </c>
      <c r="J118" s="8" t="n">
        <v>4</v>
      </c>
      <c r="K118" s="8" t="n">
        <v>4</v>
      </c>
      <c r="L118" s="14" t="inlineStr"/>
    </row>
    <row r="119">
      <c r="A119" s="8" t="inlineStr">
        <is>
          <t>117</t>
        </is>
      </c>
      <c r="B119" s="11" t="inlineStr">
        <is>
          <t>终极铠甲</t>
        </is>
      </c>
      <c r="C119" s="6" t="inlineStr">
        <is>
          <t>护甲</t>
        </is>
      </c>
      <c r="D119" s="8" t="n">
        <v>4500</v>
      </c>
      <c r="E119" s="8" t="n">
        <v>110</v>
      </c>
      <c r="F119" s="8" t="n">
        <v>3</v>
      </c>
      <c r="G119" s="8" t="n">
        <v>40</v>
      </c>
      <c r="H119" s="8" t="n">
        <v>10</v>
      </c>
      <c r="I119" s="8" t="n">
        <v>1</v>
      </c>
      <c r="J119" s="8" t="n">
        <v>4</v>
      </c>
      <c r="K119" s="8" t="n">
        <v>6</v>
      </c>
      <c r="L119" s="14" t="inlineStr"/>
    </row>
    <row r="120">
      <c r="A120" s="8" t="inlineStr">
        <is>
          <t>118</t>
        </is>
      </c>
      <c r="B120" s="9" t="inlineStr">
        <is>
          <t>骇之石</t>
        </is>
      </c>
      <c r="C120" s="6" t="inlineStr">
        <is>
          <t>饰品</t>
        </is>
      </c>
      <c r="D120" s="8" t="n">
        <v>2000</v>
      </c>
      <c r="E120" s="8" t="n">
        <v>6</v>
      </c>
      <c r="F120" s="8" t="n">
        <v>6</v>
      </c>
      <c r="G120" s="8" t="n">
        <v>6</v>
      </c>
      <c r="H120" s="8" t="n">
        <v>6</v>
      </c>
      <c r="I120" s="8" t="n">
        <v>6</v>
      </c>
      <c r="J120" s="8" t="n">
        <v>6</v>
      </c>
      <c r="K120" s="8" t="n">
        <v>6</v>
      </c>
      <c r="L120" s="14" t="inlineStr"/>
    </row>
    <row r="121">
      <c r="A121" s="8" t="inlineStr">
        <is>
          <t>119</t>
        </is>
      </c>
      <c r="B121" s="10" t="inlineStr">
        <is>
          <t>猎手铭文</t>
        </is>
      </c>
      <c r="C121" s="6" t="inlineStr">
        <is>
          <t>饰品</t>
        </is>
      </c>
      <c r="D121" s="8" t="n">
        <v>3000</v>
      </c>
      <c r="E121" s="8" t="n">
        <v>6</v>
      </c>
      <c r="F121" s="8" t="n">
        <v>12</v>
      </c>
      <c r="G121" s="8" t="n">
        <v>2</v>
      </c>
      <c r="H121" s="8" t="n">
        <v>20</v>
      </c>
      <c r="I121" s="8" t="n">
        <v>10</v>
      </c>
      <c r="J121" s="8" t="n">
        <v>6</v>
      </c>
      <c r="K121" s="8" t="n">
        <v>6</v>
      </c>
      <c r="L121" s="14" t="inlineStr"/>
    </row>
    <row r="122">
      <c r="A122" s="8" t="inlineStr">
        <is>
          <t>120</t>
        </is>
      </c>
      <c r="B122" s="11" t="inlineStr">
        <is>
          <t>黑暗低语</t>
        </is>
      </c>
      <c r="C122" s="6" t="inlineStr">
        <is>
          <t>饰品</t>
        </is>
      </c>
      <c r="D122" s="8" t="n">
        <v>4000</v>
      </c>
      <c r="E122" s="8" t="n">
        <v>12</v>
      </c>
      <c r="F122" s="8" t="n">
        <v>12</v>
      </c>
      <c r="G122" s="8" t="n">
        <v>6</v>
      </c>
      <c r="H122" s="8" t="n">
        <v>30</v>
      </c>
      <c r="I122" s="8" t="n">
        <v>9</v>
      </c>
      <c r="J122" s="8" t="n">
        <v>6</v>
      </c>
      <c r="K122" s="8" t="n">
        <v>6</v>
      </c>
      <c r="L122" s="14" t="inlineStr"/>
    </row>
    <row r="123">
      <c r="A123" s="8" t="inlineStr">
        <is>
          <t>121</t>
        </is>
      </c>
      <c r="B123" s="16" t="inlineStr">
        <is>
          <t>隐秘-亚龙冠冕</t>
        </is>
      </c>
      <c r="C123" s="6" t="inlineStr">
        <is>
          <t>头盔</t>
        </is>
      </c>
      <c r="D123" s="8" t="n">
        <v>5500</v>
      </c>
      <c r="E123" s="8" t="n">
        <v>20</v>
      </c>
      <c r="F123" s="8" t="n">
        <v>15</v>
      </c>
      <c r="G123" s="8" t="n">
        <v>10</v>
      </c>
      <c r="H123" s="8" t="n">
        <v>25</v>
      </c>
      <c r="I123" s="8" t="n">
        <v>20</v>
      </c>
      <c r="J123" s="8" t="n">
        <v>10</v>
      </c>
      <c r="K123" s="8" t="n">
        <v>15</v>
      </c>
      <c r="L123" s="14" t="inlineStr">
        <is>
          <t>装备技能：被动｜亚龙威仪｜第一回合攻击力提升50%；攻击 +50%</t>
        </is>
      </c>
    </row>
    <row r="124">
      <c r="A124" s="8" t="inlineStr">
        <is>
          <t>122</t>
        </is>
      </c>
      <c r="B124" s="18" t="inlineStr">
        <is>
          <t>混沌宝珠</t>
        </is>
      </c>
      <c r="C124" s="6" t="inlineStr">
        <is>
          <t>饰品</t>
        </is>
      </c>
      <c r="D124" s="8" t="n">
        <v>5000</v>
      </c>
      <c r="E124" s="8" t="n">
        <v>16</v>
      </c>
      <c r="F124" s="8" t="n">
        <v>9</v>
      </c>
      <c r="G124" s="8" t="n">
        <v>9</v>
      </c>
      <c r="H124" s="8" t="n">
        <v>30</v>
      </c>
      <c r="I124" s="8" t="n">
        <v>12</v>
      </c>
      <c r="J124" s="8" t="n">
        <v>9</v>
      </c>
      <c r="K124" s="8" t="n">
        <v>10</v>
      </c>
      <c r="L124" s="14" t="inlineStr">
        <is>
          <t>装备技能：被动｜混沌初开｜第一回合额外获得(能量*0.1)%防御；防御 +能量*0.1%</t>
        </is>
      </c>
    </row>
    <row r="125">
      <c r="A125" s="8" t="inlineStr">
        <is>
          <t>123</t>
        </is>
      </c>
      <c r="B125" s="19" t="inlineStr">
        <is>
          <t>神器-神锋剑</t>
        </is>
      </c>
      <c r="C125" s="6" t="inlineStr">
        <is>
          <t>武器</t>
        </is>
      </c>
      <c r="D125" s="8" t="n">
        <v>9999</v>
      </c>
      <c r="E125" s="8" t="n">
        <v>10</v>
      </c>
      <c r="F125" s="8" t="n">
        <v>60</v>
      </c>
      <c r="G125" s="8" t="n">
        <v>5</v>
      </c>
      <c r="H125" s="8" t="n">
        <v>30</v>
      </c>
      <c r="I125" s="8" t="n">
        <v>35</v>
      </c>
      <c r="J125" s="8" t="n">
        <v>25</v>
      </c>
      <c r="K125" s="8" t="n">
        <v>45</v>
      </c>
      <c r="L125" s="14" t="inlineStr"/>
    </row>
    <row r="126">
      <c r="A126" s="8" t="inlineStr">
        <is>
          <t>124</t>
        </is>
      </c>
      <c r="B126" s="19" t="inlineStr">
        <is>
          <t>神器-龙神圣剑</t>
        </is>
      </c>
      <c r="C126" s="6" t="inlineStr">
        <is>
          <t>武器</t>
        </is>
      </c>
      <c r="D126" s="8" t="n">
        <v>9999</v>
      </c>
      <c r="E126" s="8" t="n">
        <v>10</v>
      </c>
      <c r="F126" s="8" t="n">
        <v>60</v>
      </c>
      <c r="G126" s="8" t="n">
        <v>5</v>
      </c>
      <c r="H126" s="8" t="n">
        <v>60</v>
      </c>
      <c r="I126" s="8" t="n">
        <v>35</v>
      </c>
      <c r="J126" s="8" t="n">
        <v>30</v>
      </c>
      <c r="K126" s="8" t="n">
        <v>28</v>
      </c>
      <c r="L126" s="14" t="inlineStr"/>
    </row>
    <row r="127">
      <c r="A127" s="8" t="inlineStr">
        <is>
          <t>125</t>
        </is>
      </c>
      <c r="B127" s="19" t="inlineStr">
        <is>
          <t>神器-魔剑</t>
        </is>
      </c>
      <c r="C127" s="6" t="inlineStr">
        <is>
          <t>武器</t>
        </is>
      </c>
      <c r="D127" s="8" t="n">
        <v>9999</v>
      </c>
      <c r="E127" s="8" t="n">
        <v>10</v>
      </c>
      <c r="F127" s="8" t="n">
        <v>60</v>
      </c>
      <c r="G127" s="8" t="n">
        <v>0</v>
      </c>
      <c r="H127" s="8" t="n">
        <v>70</v>
      </c>
      <c r="I127" s="8" t="n">
        <v>35</v>
      </c>
      <c r="J127" s="8" t="n">
        <v>22</v>
      </c>
      <c r="K127" s="8" t="n">
        <v>38</v>
      </c>
      <c r="L127" s="14" t="inlineStr"/>
    </row>
    <row r="128">
      <c r="A128" s="8" t="inlineStr">
        <is>
          <t>126</t>
        </is>
      </c>
      <c r="B128" s="11" t="inlineStr">
        <is>
          <t>界律仲裁之枪</t>
        </is>
      </c>
      <c r="C128" s="6" t="inlineStr">
        <is>
          <t>武器</t>
        </is>
      </c>
      <c r="D128" s="8" t="n">
        <v>4800</v>
      </c>
      <c r="E128" s="8" t="n">
        <v>12</v>
      </c>
      <c r="F128" s="8" t="n">
        <v>39</v>
      </c>
      <c r="G128" s="8" t="n">
        <v>3</v>
      </c>
      <c r="H128" s="8" t="n">
        <v>25</v>
      </c>
      <c r="I128" s="8" t="n">
        <v>12</v>
      </c>
      <c r="J128" s="8" t="n">
        <v>16</v>
      </c>
      <c r="K128" s="8" t="n">
        <v>10</v>
      </c>
      <c r="L128" s="14" t="inlineStr">
        <is>
          <t>套装【界律仲裁之枪 + 界律镇守之冠】｜被动｜仲裁｜第三回合开始，目标防御-15%。；防御 -15%</t>
        </is>
      </c>
    </row>
    <row r="129">
      <c r="A129" s="8" t="inlineStr">
        <is>
          <t>127</t>
        </is>
      </c>
      <c r="B129" s="11" t="inlineStr">
        <is>
          <t>界律镇守之冠</t>
        </is>
      </c>
      <c r="C129" s="6" t="inlineStr">
        <is>
          <t>头盔</t>
        </is>
      </c>
      <c r="D129" s="8" t="n">
        <v>3550</v>
      </c>
      <c r="E129" s="8" t="n">
        <v>25</v>
      </c>
      <c r="F129" s="8" t="n">
        <v>3</v>
      </c>
      <c r="G129" s="8" t="n">
        <v>16</v>
      </c>
      <c r="H129" s="8" t="n">
        <v>20</v>
      </c>
      <c r="I129" s="8" t="n">
        <v>15</v>
      </c>
      <c r="J129" s="8" t="n">
        <v>7</v>
      </c>
      <c r="K129" s="8" t="n">
        <v>12</v>
      </c>
      <c r="L129" s="14" t="inlineStr">
        <is>
          <t>套装【界律仲裁之枪 + 界律镇守之冠】｜被动｜仲裁｜第三回合开始，目标防御-15%。；防御 -15%</t>
        </is>
      </c>
    </row>
    <row r="130">
      <c r="A130" s="8" t="inlineStr">
        <is>
          <t>128</t>
        </is>
      </c>
      <c r="B130" s="11" t="inlineStr">
        <is>
          <t>禁界踏破战靴</t>
        </is>
      </c>
      <c r="C130" s="6" t="inlineStr">
        <is>
          <t>鞋子</t>
        </is>
      </c>
      <c r="D130" s="8" t="n">
        <v>3300</v>
      </c>
      <c r="E130" s="8" t="n">
        <v>20</v>
      </c>
      <c r="F130" s="8" t="n">
        <v>4</v>
      </c>
      <c r="G130" s="8" t="n">
        <v>20</v>
      </c>
      <c r="H130" s="8" t="n">
        <v>10</v>
      </c>
      <c r="I130" s="8" t="n">
        <v>7</v>
      </c>
      <c r="J130" s="8" t="n">
        <v>6</v>
      </c>
      <c r="K130" s="8" t="n">
        <v>17</v>
      </c>
      <c r="L130" s="14" t="inlineStr">
        <is>
          <t>套装【守界黄昏 + 禁界踏破战靴】｜主动｜黄昏禁锢｜耗能20｜CD30｜眩晕目标3回合，期间目标受到伤害+15%。；无法行动；最终受伤 +15%</t>
        </is>
      </c>
    </row>
    <row r="131">
      <c r="A131" s="8" t="inlineStr">
        <is>
          <t>129</t>
        </is>
      </c>
      <c r="B131" s="11" t="inlineStr">
        <is>
          <t>守界黄昏</t>
        </is>
      </c>
      <c r="C131" s="6" t="inlineStr">
        <is>
          <t>饰品</t>
        </is>
      </c>
      <c r="D131" s="8" t="n">
        <v>4000</v>
      </c>
      <c r="E131" s="8" t="n">
        <v>13</v>
      </c>
      <c r="F131" s="8" t="n">
        <v>6</v>
      </c>
      <c r="G131" s="8" t="n">
        <v>7</v>
      </c>
      <c r="H131" s="8" t="n">
        <v>16</v>
      </c>
      <c r="I131" s="8" t="n">
        <v>8</v>
      </c>
      <c r="J131" s="8" t="n">
        <v>11</v>
      </c>
      <c r="K131" s="8" t="n">
        <v>12</v>
      </c>
      <c r="L131" s="14" t="inlineStr">
        <is>
          <t>套装【守界黄昏 + 禁界踏破战靴】｜主动｜黄昏禁锢｜耗能20｜CD30｜眩晕目标3回合，期间目标受到伤害+15%。；无法行动；最终受伤 +15%</t>
        </is>
      </c>
    </row>
    <row r="132">
      <c r="A132" s="8" t="inlineStr">
        <is>
          <t>130</t>
        </is>
      </c>
      <c r="B132" s="11" t="inlineStr">
        <is>
          <t>幽幕灵织袍</t>
        </is>
      </c>
      <c r="C132" s="6" t="inlineStr">
        <is>
          <t>护甲</t>
        </is>
      </c>
      <c r="D132" s="8" t="n">
        <v>4300</v>
      </c>
      <c r="E132" s="8" t="n">
        <v>90</v>
      </c>
      <c r="F132" s="8" t="n">
        <v>10</v>
      </c>
      <c r="G132" s="8" t="n">
        <v>28</v>
      </c>
      <c r="H132" s="8" t="n">
        <v>20</v>
      </c>
      <c r="I132" s="8" t="n">
        <v>7</v>
      </c>
      <c r="J132" s="8" t="n">
        <v>5</v>
      </c>
      <c r="K132" s="8" t="n">
        <v>12</v>
      </c>
      <c r="L132" s="14" t="inlineStr">
        <is>
          <t>套装【幽幕灵织袍 + 暴动魔核 + 流渊穿越者】｜主动｜深渊暴动｜耗能30｜CD50｜进入暴走状态持续6回合：伤害增幅+30%、敏捷+50%，每次攻击附带敏捷×0.1的真实伤害。；最终伤害 +30%；敏捷 +50%；普攻附加 敏捷*0.1 真实伤害</t>
        </is>
      </c>
    </row>
    <row r="133">
      <c r="A133" s="8" t="inlineStr">
        <is>
          <t>131</t>
        </is>
      </c>
      <c r="B133" s="11" t="inlineStr">
        <is>
          <t>虚灵幽骸面罩</t>
        </is>
      </c>
      <c r="C133" s="6" t="inlineStr">
        <is>
          <t>头盔</t>
        </is>
      </c>
      <c r="D133" s="8" t="n">
        <v>3500</v>
      </c>
      <c r="E133" s="8" t="n">
        <v>22</v>
      </c>
      <c r="F133" s="8" t="n">
        <v>8</v>
      </c>
      <c r="G133" s="8" t="n">
        <v>6</v>
      </c>
      <c r="H133" s="8" t="n">
        <v>25</v>
      </c>
      <c r="I133" s="8" t="n">
        <v>17</v>
      </c>
      <c r="J133" s="8" t="n">
        <v>8</v>
      </c>
      <c r="K133" s="8" t="n">
        <v>15</v>
      </c>
      <c r="L133" s="14" t="inlineStr">
        <is>
          <t>套装【虚灵幽骸面罩 + 魔灵残响步履】｜主动｜虚化｜耗能10｜CD8｜获得一回合必闪避，并且接下来5回合敏捷+25%。；必定闪避；敏捷 +25%</t>
        </is>
      </c>
    </row>
    <row r="134">
      <c r="A134" s="8" t="inlineStr">
        <is>
          <t>132</t>
        </is>
      </c>
      <c r="B134" s="11" t="inlineStr">
        <is>
          <t>魔灵残响步履</t>
        </is>
      </c>
      <c r="C134" s="6" t="inlineStr">
        <is>
          <t>鞋子</t>
        </is>
      </c>
      <c r="D134" s="8" t="n">
        <v>3300</v>
      </c>
      <c r="E134" s="8" t="n">
        <v>16</v>
      </c>
      <c r="F134" s="8" t="n">
        <v>6</v>
      </c>
      <c r="G134" s="8" t="n">
        <v>18</v>
      </c>
      <c r="H134" s="8" t="n">
        <v>12</v>
      </c>
      <c r="I134" s="8" t="n">
        <v>7</v>
      </c>
      <c r="J134" s="8" t="n">
        <v>6</v>
      </c>
      <c r="K134" s="8" t="n">
        <v>19</v>
      </c>
      <c r="L134" s="14" t="inlineStr">
        <is>
          <t>套装【虚灵幽骸面罩 + 魔灵残响步履】｜主动｜虚化｜耗能10｜CD8｜获得一回合必闪避，并且接下来5回合敏捷+25%。；必定闪避；敏捷 +25%</t>
        </is>
      </c>
    </row>
    <row r="135">
      <c r="A135" s="8" t="inlineStr">
        <is>
          <t>133</t>
        </is>
      </c>
      <c r="B135" s="11" t="inlineStr">
        <is>
          <t>暴动魔核</t>
        </is>
      </c>
      <c r="C135" s="6" t="inlineStr">
        <is>
          <t>饰品</t>
        </is>
      </c>
      <c r="D135" s="8" t="n">
        <v>4100</v>
      </c>
      <c r="E135" s="8" t="n">
        <v>5</v>
      </c>
      <c r="F135" s="8" t="n">
        <v>15</v>
      </c>
      <c r="G135" s="8" t="n">
        <v>0</v>
      </c>
      <c r="H135" s="8" t="n">
        <v>30</v>
      </c>
      <c r="I135" s="8" t="n">
        <v>2</v>
      </c>
      <c r="J135" s="8" t="n">
        <v>2</v>
      </c>
      <c r="K135" s="8" t="n">
        <v>20</v>
      </c>
      <c r="L135" s="14" t="inlineStr">
        <is>
          <t>套装【幽幕灵织袍 + 暴动魔核 + 流渊穿越者】｜主动｜深渊暴动｜耗能30｜CD50｜进入暴走状态持续6回合：伤害增幅+30%、敏捷+50%，每次攻击附带敏捷×0.1的真实伤害。；最终伤害 +30%；敏捷 +50%；普攻附加 敏捷*0.1 真实伤害</t>
        </is>
      </c>
    </row>
    <row r="136">
      <c r="A136" s="8" t="inlineStr">
        <is>
          <t>134</t>
        </is>
      </c>
      <c r="B136" s="11" t="inlineStr">
        <is>
          <t>耳语帷幕斗篷</t>
        </is>
      </c>
      <c r="C136" s="6" t="inlineStr">
        <is>
          <t>护甲</t>
        </is>
      </c>
      <c r="D136" s="8" t="n">
        <v>4700</v>
      </c>
      <c r="E136" s="8" t="n">
        <v>92</v>
      </c>
      <c r="F136" s="8" t="n">
        <v>12</v>
      </c>
      <c r="G136" s="8" t="n">
        <v>26</v>
      </c>
      <c r="H136" s="8" t="n">
        <v>35</v>
      </c>
      <c r="I136" s="8" t="n">
        <v>4</v>
      </c>
      <c r="J136" s="8" t="n">
        <v>3</v>
      </c>
      <c r="K136" s="8" t="n">
        <v>15</v>
      </c>
      <c r="L136" s="14" t="inlineStr">
        <is>
          <t>套装【耳语帷幕斗篷 + 深渊回响之坠】｜被动｜低语回响｜普攻附带（能量×0.02 + 护甲强化等级 + 饰品强化等级）的真实伤害。；普攻附加 能量*0.02+护甲强化+饰品强化 真实伤害</t>
        </is>
      </c>
    </row>
    <row r="137">
      <c r="A137" s="8" t="inlineStr">
        <is>
          <t>135</t>
        </is>
      </c>
      <c r="B137" s="11" t="inlineStr">
        <is>
          <t>回响之盔</t>
        </is>
      </c>
      <c r="C137" s="6" t="inlineStr">
        <is>
          <t>头盔</t>
        </is>
      </c>
      <c r="D137" s="8" t="n">
        <v>3650</v>
      </c>
      <c r="E137" s="8" t="n">
        <v>19</v>
      </c>
      <c r="F137" s="8" t="n">
        <v>9</v>
      </c>
      <c r="G137" s="8" t="n">
        <v>11</v>
      </c>
      <c r="H137" s="8" t="n">
        <v>20</v>
      </c>
      <c r="I137" s="8" t="n">
        <v>18</v>
      </c>
      <c r="J137" s="8" t="n">
        <v>6</v>
      </c>
      <c r="K137" s="8" t="n">
        <v>12</v>
      </c>
      <c r="L137" s="14" t="inlineStr"/>
    </row>
    <row r="138">
      <c r="A138" s="8" t="inlineStr">
        <is>
          <t>136</t>
        </is>
      </c>
      <c r="B138" s="11" t="inlineStr">
        <is>
          <t>流渊穿越者</t>
        </is>
      </c>
      <c r="C138" s="6" t="inlineStr">
        <is>
          <t>鞋子</t>
        </is>
      </c>
      <c r="D138" s="8" t="n">
        <v>3400</v>
      </c>
      <c r="E138" s="8" t="n">
        <v>23</v>
      </c>
      <c r="F138" s="8" t="n">
        <v>3</v>
      </c>
      <c r="G138" s="8" t="n">
        <v>22</v>
      </c>
      <c r="H138" s="8" t="n">
        <v>11</v>
      </c>
      <c r="I138" s="8" t="n">
        <v>5</v>
      </c>
      <c r="J138" s="8" t="n">
        <v>4</v>
      </c>
      <c r="K138" s="8" t="n">
        <v>22</v>
      </c>
      <c r="L138" s="14" t="inlineStr">
        <is>
          <t>套装【幽幕灵织袍 + 暴动魔核 + 流渊穿越者】｜主动｜深渊暴动｜耗能30｜CD50｜进入暴走状态持续6回合：伤害增幅+30%、敏捷+50%，每次攻击附带敏捷×0.1的真实伤害。；最终伤害 +30%；敏捷 +50%；普攻附加 敏捷*0.1 真实伤害</t>
        </is>
      </c>
    </row>
    <row r="139">
      <c r="A139" s="8" t="inlineStr">
        <is>
          <t>137</t>
        </is>
      </c>
      <c r="B139" s="11" t="inlineStr">
        <is>
          <t>深渊回响之坠</t>
        </is>
      </c>
      <c r="C139" s="6" t="inlineStr">
        <is>
          <t>饰品</t>
        </is>
      </c>
      <c r="D139" s="8" t="n">
        <v>4200</v>
      </c>
      <c r="E139" s="8" t="n">
        <v>18</v>
      </c>
      <c r="F139" s="8" t="n">
        <v>5</v>
      </c>
      <c r="G139" s="8" t="n">
        <v>12</v>
      </c>
      <c r="H139" s="8" t="n">
        <v>45</v>
      </c>
      <c r="I139" s="8" t="n">
        <v>10</v>
      </c>
      <c r="J139" s="8" t="n">
        <v>6</v>
      </c>
      <c r="K139" s="8" t="n">
        <v>8</v>
      </c>
      <c r="L139" s="14" t="inlineStr">
        <is>
          <t>套装【耳语帷幕斗篷 + 深渊回响之坠】｜被动｜低语回响｜普攻附带（能量×0.02 + 护甲强化等级 + 饰品强化等级）的真实伤害。；普攻附加 能量*0.02+护甲强化+饰品强化 真实伤害</t>
        </is>
      </c>
    </row>
    <row r="140">
      <c r="A140" s="8" t="inlineStr">
        <is>
          <t>138</t>
        </is>
      </c>
      <c r="B140" s="11" t="inlineStr">
        <is>
          <t>咏叹之杖</t>
        </is>
      </c>
      <c r="C140" s="6" t="inlineStr">
        <is>
          <t>武器</t>
        </is>
      </c>
      <c r="D140" s="8" t="n">
        <v>5100</v>
      </c>
      <c r="E140" s="8" t="n">
        <v>8</v>
      </c>
      <c r="F140" s="8" t="n">
        <v>38</v>
      </c>
      <c r="G140" s="8" t="n">
        <v>6</v>
      </c>
      <c r="H140" s="8" t="n">
        <v>40</v>
      </c>
      <c r="I140" s="8" t="n">
        <v>14</v>
      </c>
      <c r="J140" s="8" t="n">
        <v>12</v>
      </c>
      <c r="K140" s="8" t="n">
        <v>10</v>
      </c>
      <c r="L140" s="14" t="inlineStr">
        <is>
          <t>套装【咏叹之杖 + 哀霜献祭法袍】｜主动｜霜之哀伤｜耗能10｜CD20｜降低目标20%防御、20%敏捷，持续10回合，并造成能量×0.5的伤害。；防御 -20%；敏捷 -20%；造成当前能量×0.5伤害</t>
        </is>
      </c>
    </row>
    <row r="141">
      <c r="A141" s="8" t="inlineStr">
        <is>
          <t>139</t>
        </is>
      </c>
      <c r="B141" s="11" t="inlineStr">
        <is>
          <t>哀霜献祭法袍</t>
        </is>
      </c>
      <c r="C141" s="6" t="inlineStr">
        <is>
          <t>护甲</t>
        </is>
      </c>
      <c r="D141" s="8" t="n">
        <v>4500</v>
      </c>
      <c r="E141" s="8" t="n">
        <v>80</v>
      </c>
      <c r="F141" s="8" t="n">
        <v>8</v>
      </c>
      <c r="G141" s="8" t="n">
        <v>32</v>
      </c>
      <c r="H141" s="8" t="n">
        <v>30</v>
      </c>
      <c r="I141" s="8" t="n">
        <v>6</v>
      </c>
      <c r="J141" s="8" t="n">
        <v>6</v>
      </c>
      <c r="K141" s="8" t="n">
        <v>15</v>
      </c>
      <c r="L141" s="14" t="inlineStr">
        <is>
          <t>套装【咏叹之杖 + 哀霜献祭法袍】｜主动｜霜之哀伤｜耗能10｜CD20｜降低目标20%防御、20%敏捷，持续10回合，并造成能量×0.5的伤害。；防御 -20%；敏捷 -20%；造成当前能量×0.5伤害</t>
        </is>
      </c>
    </row>
    <row r="142">
      <c r="A142" s="8" t="inlineStr">
        <is>
          <t>140</t>
        </is>
      </c>
      <c r="B142" s="11" t="inlineStr">
        <is>
          <t>祭礼冠冕</t>
        </is>
      </c>
      <c r="C142" s="6" t="inlineStr">
        <is>
          <t>头盔</t>
        </is>
      </c>
      <c r="D142" s="8" t="n">
        <v>3700</v>
      </c>
      <c r="E142" s="8" t="n">
        <v>12</v>
      </c>
      <c r="F142" s="8" t="n">
        <v>12</v>
      </c>
      <c r="G142" s="8" t="n">
        <v>12</v>
      </c>
      <c r="H142" s="8" t="n">
        <v>12</v>
      </c>
      <c r="I142" s="8" t="n">
        <v>12</v>
      </c>
      <c r="J142" s="8" t="n">
        <v>12</v>
      </c>
      <c r="K142" s="8" t="n">
        <v>12</v>
      </c>
      <c r="L142" s="14" t="inlineStr">
        <is>
          <t>套装【祭礼冠冕 + 哀悼胫甲 + 悲鸣之环】｜被动｜悲恸光环｜敌人攻击、防御、敏捷均减少（能量×0.01）%。；攻击 -能量*0.01%；防御 -能量*0.01%；敏捷 -能量*0.01%</t>
        </is>
      </c>
    </row>
    <row r="143">
      <c r="A143" s="8" t="inlineStr">
        <is>
          <t>141</t>
        </is>
      </c>
      <c r="B143" s="11" t="inlineStr">
        <is>
          <t>哀悼胫甲</t>
        </is>
      </c>
      <c r="C143" s="6" t="inlineStr">
        <is>
          <t>鞋子</t>
        </is>
      </c>
      <c r="D143" s="8" t="n">
        <v>3500</v>
      </c>
      <c r="E143" s="8" t="n">
        <v>19</v>
      </c>
      <c r="F143" s="8" t="n">
        <v>8</v>
      </c>
      <c r="G143" s="8" t="n">
        <v>16</v>
      </c>
      <c r="H143" s="8" t="n">
        <v>20</v>
      </c>
      <c r="I143" s="8" t="n">
        <v>13</v>
      </c>
      <c r="J143" s="8" t="n">
        <v>8</v>
      </c>
      <c r="K143" s="8" t="n">
        <v>15</v>
      </c>
      <c r="L143" s="14" t="inlineStr">
        <is>
          <t>套装【祭礼冠冕 + 哀悼胫甲 + 悲鸣之环】｜被动｜悲恸光环｜敌人攻击、防御、敏捷均减少（能量×0.01）%。；攻击 -能量*0.01%；防御 -能量*0.01%；敏捷 -能量*0.01%</t>
        </is>
      </c>
    </row>
    <row r="144">
      <c r="A144" s="8" t="inlineStr">
        <is>
          <t>142</t>
        </is>
      </c>
      <c r="B144" s="11" t="inlineStr">
        <is>
          <t>悲鸣之环</t>
        </is>
      </c>
      <c r="C144" s="6" t="inlineStr">
        <is>
          <t>饰品</t>
        </is>
      </c>
      <c r="D144" s="8" t="n">
        <v>4300</v>
      </c>
      <c r="E144" s="8" t="n">
        <v>15</v>
      </c>
      <c r="F144" s="8" t="n">
        <v>10</v>
      </c>
      <c r="G144" s="8" t="n">
        <v>5</v>
      </c>
      <c r="H144" s="8" t="n">
        <v>32</v>
      </c>
      <c r="I144" s="8" t="n">
        <v>11</v>
      </c>
      <c r="J144" s="8" t="n">
        <v>7</v>
      </c>
      <c r="K144" s="8" t="n">
        <v>14</v>
      </c>
      <c r="L144" s="14" t="inlineStr">
        <is>
          <t>套装【祭礼冠冕 + 哀悼胫甲 + 悲鸣之环】｜被动｜悲恸光环｜敌人攻击、防御、敏捷均减少（能量×0.01）%。；攻击 -能量*0.01%；防御 -能量*0.01%；敏捷 -能量*0.01%</t>
        </is>
      </c>
    </row>
    <row r="145">
      <c r="A145" s="8" t="inlineStr">
        <is>
          <t>143</t>
        </is>
      </c>
      <c r="B145" s="11" t="inlineStr">
        <is>
          <t>深渊裂骨锤</t>
        </is>
      </c>
      <c r="C145" s="6" t="inlineStr">
        <is>
          <t>武器</t>
        </is>
      </c>
      <c r="D145" s="8" t="n">
        <v>5400</v>
      </c>
      <c r="E145" s="8" t="n">
        <v>20</v>
      </c>
      <c r="F145" s="8" t="n">
        <v>45</v>
      </c>
      <c r="G145" s="8" t="n">
        <v>10</v>
      </c>
      <c r="H145" s="8" t="n">
        <v>0</v>
      </c>
      <c r="I145" s="8" t="n">
        <v>20</v>
      </c>
      <c r="J145" s="8" t="n">
        <v>15</v>
      </c>
      <c r="K145" s="8" t="n">
        <v>5</v>
      </c>
      <c r="L145" s="14" t="inlineStr">
        <is>
          <t>套装【深渊裂骨锤 + 深渊王冠 + 不灭之心】｜被动｜镇压｜对方生命值低于50%时，我方伤害+15%；否则自身免伤+15%。；最终伤害 +15%；最终受伤 -15%；套装【深渊裂骨锤 + 骸之王座甲】｜被动｜破碎碾压｜第5回合开始，穿透提高（武器强化等级+护甲强化等级）%，并且增加（能量×0.02）的最终伤害增幅，都持续3回合。；穿透 +(武器强化+护甲强化)%；最终伤害 +能量*0.02%</t>
        </is>
      </c>
    </row>
    <row r="146">
      <c r="A146" s="8" t="inlineStr">
        <is>
          <t>144</t>
        </is>
      </c>
      <c r="B146" s="11" t="inlineStr">
        <is>
          <t>骸之王座甲</t>
        </is>
      </c>
      <c r="C146" s="6" t="inlineStr">
        <is>
          <t>护甲</t>
        </is>
      </c>
      <c r="D146" s="8" t="n">
        <v>4900</v>
      </c>
      <c r="E146" s="8" t="n">
        <v>125</v>
      </c>
      <c r="F146" s="8" t="n">
        <v>4</v>
      </c>
      <c r="G146" s="8" t="n">
        <v>42</v>
      </c>
      <c r="H146" s="8" t="n">
        <v>0</v>
      </c>
      <c r="I146" s="8" t="n">
        <v>6</v>
      </c>
      <c r="J146" s="8" t="n">
        <v>3</v>
      </c>
      <c r="K146" s="8" t="n">
        <v>8</v>
      </c>
      <c r="L146" s="14" t="inlineStr">
        <is>
          <t>套装【深渊裂骨锤 + 骸之王座甲】｜被动｜破碎碾压｜第5回合开始，穿透提高（武器强化等级+护甲强化等级）%，并且增加（能量×0.02）的最终伤害增幅，都持续3回合。；穿透 +(武器强化+护甲强化)%；最终伤害 +能量*0.02%</t>
        </is>
      </c>
    </row>
    <row r="147">
      <c r="A147" s="8" t="inlineStr">
        <is>
          <t>145</t>
        </is>
      </c>
      <c r="B147" s="11" t="inlineStr">
        <is>
          <t>深渊王冠</t>
        </is>
      </c>
      <c r="C147" s="6" t="inlineStr">
        <is>
          <t>头盔</t>
        </is>
      </c>
      <c r="D147" s="8" t="n">
        <v>3900</v>
      </c>
      <c r="E147" s="8" t="n">
        <v>26</v>
      </c>
      <c r="F147" s="8" t="n">
        <v>8</v>
      </c>
      <c r="G147" s="8" t="n">
        <v>17</v>
      </c>
      <c r="H147" s="8" t="n">
        <v>14</v>
      </c>
      <c r="I147" s="8" t="n">
        <v>17</v>
      </c>
      <c r="J147" s="8" t="n">
        <v>8</v>
      </c>
      <c r="K147" s="8" t="n">
        <v>10</v>
      </c>
      <c r="L147" s="14" t="inlineStr">
        <is>
          <t>套装【深渊裂骨锤 + 深渊王冠 + 不灭之心】｜被动｜镇压｜对方生命值低于50%时，我方伤害+15%；否则自身免伤+15%。；最终伤害 +15%；最终受伤 -15%</t>
        </is>
      </c>
    </row>
    <row r="148">
      <c r="A148" s="8" t="inlineStr">
        <is>
          <t>146</t>
        </is>
      </c>
      <c r="B148" s="11" t="inlineStr">
        <is>
          <t>不灭之心</t>
        </is>
      </c>
      <c r="C148" s="6" t="inlineStr">
        <is>
          <t>饰品</t>
        </is>
      </c>
      <c r="D148" s="8" t="n">
        <v>4500</v>
      </c>
      <c r="E148" s="8" t="n">
        <v>90</v>
      </c>
      <c r="F148" s="8" t="n">
        <v>0</v>
      </c>
      <c r="G148" s="8" t="n">
        <v>30</v>
      </c>
      <c r="H148" s="8" t="n">
        <v>20</v>
      </c>
      <c r="I148" s="8" t="n">
        <v>0</v>
      </c>
      <c r="J148" s="8" t="n">
        <v>0</v>
      </c>
      <c r="K148" s="8" t="n">
        <v>0</v>
      </c>
      <c r="L148" s="14" t="inlineStr">
        <is>
          <t>套装【深渊裂骨锤 + 深渊王冠 + 不灭之心】｜被动｜镇压｜对方生命值低于50%时，我方伤害+15%；否则自身免伤+15%。；最终伤害 +15%；最终受伤 -15%</t>
        </is>
      </c>
    </row>
    <row r="149">
      <c r="A149" s="8" t="inlineStr">
        <is>
          <t>147</t>
        </is>
      </c>
      <c r="B149" s="16" t="inlineStr">
        <is>
          <t>隐秘-噬浪鳞靴</t>
        </is>
      </c>
      <c r="C149" s="6" t="inlineStr">
        <is>
          <t>鞋子</t>
        </is>
      </c>
      <c r="D149" s="8" t="n">
        <v>5500</v>
      </c>
      <c r="E149" s="8" t="n">
        <v>22</v>
      </c>
      <c r="F149" s="8" t="n">
        <v>12</v>
      </c>
      <c r="G149" s="8" t="n">
        <v>12</v>
      </c>
      <c r="H149" s="8" t="n">
        <v>8</v>
      </c>
      <c r="I149" s="8" t="n">
        <v>14</v>
      </c>
      <c r="J149" s="8" t="n">
        <v>8</v>
      </c>
      <c r="K149" s="8" t="n">
        <v>25</v>
      </c>
      <c r="L149" s="14" t="inlineStr">
        <is>
          <t>装备技能：主动｜噬浪突袭｜耗能20｜CD20｜造成((攻击力 + 能量*1.5) * (1 + 暴击*0.002))点伤害，并提高5%的敏捷，持续2回合；造成(攻击 + 最大能量×1.5)×(1 + 暴击×0.002)伤害；敏捷 +5%</t>
        </is>
      </c>
    </row>
    <row r="150">
      <c r="A150" s="8" t="inlineStr">
        <is>
          <t>148</t>
        </is>
      </c>
      <c r="B150" s="18" t="inlineStr">
        <is>
          <t>永恒落日之铠</t>
        </is>
      </c>
      <c r="C150" s="6" t="inlineStr">
        <is>
          <t>护甲</t>
        </is>
      </c>
      <c r="D150" s="8" t="n">
        <v>6000</v>
      </c>
      <c r="E150" s="8" t="n">
        <v>115</v>
      </c>
      <c r="F150" s="8" t="n">
        <v>6</v>
      </c>
      <c r="G150" s="8" t="n">
        <v>40</v>
      </c>
      <c r="H150" s="8" t="n">
        <v>16</v>
      </c>
      <c r="I150" s="8" t="n">
        <v>8</v>
      </c>
      <c r="J150" s="8" t="n">
        <v>6</v>
      </c>
      <c r="K150" s="8" t="n">
        <v>8</v>
      </c>
      <c r="L150" s="14" t="inlineStr">
        <is>
          <t>装备技能：被动｜黄昏时刻｜第10回合获得10%最终伤害增幅，并且造成(能量*3.5)的伤害；最终伤害增幅+10%；造成最大能量×3.5固定伤害</t>
        </is>
      </c>
    </row>
    <row r="151">
      <c r="A151" s="8" t="inlineStr">
        <is>
          <t>149</t>
        </is>
      </c>
      <c r="B151" s="18" t="inlineStr">
        <is>
          <t>暗影魔冕</t>
        </is>
      </c>
      <c r="C151" s="6" t="inlineStr">
        <is>
          <t>头盔</t>
        </is>
      </c>
      <c r="D151" s="8" t="n">
        <v>4800</v>
      </c>
      <c r="E151" s="8" t="n">
        <v>24</v>
      </c>
      <c r="F151" s="8" t="n">
        <v>10</v>
      </c>
      <c r="G151" s="8" t="n">
        <v>10</v>
      </c>
      <c r="H151" s="8" t="n">
        <v>30</v>
      </c>
      <c r="I151" s="8" t="n">
        <v>20</v>
      </c>
      <c r="J151" s="8" t="n">
        <v>9</v>
      </c>
      <c r="K151" s="8" t="n">
        <v>16</v>
      </c>
      <c r="L151" s="14" t="inlineStr">
        <is>
          <t>装备技能：被动｜暗影狂袭｜增加 (能量 / 100)% 的穿透与敏捷。；破甲+最大能量÷100%；敏捷+最大能量÷100%</t>
        </is>
      </c>
    </row>
    <row r="152">
      <c r="A152" s="8" t="inlineStr">
        <is>
          <t>150</t>
        </is>
      </c>
      <c r="B152" s="18" t="inlineStr">
        <is>
          <t>永恒枪盾</t>
        </is>
      </c>
      <c r="C152" s="6" t="inlineStr">
        <is>
          <t>武器</t>
        </is>
      </c>
      <c r="D152" s="8" t="n">
        <v>5800</v>
      </c>
      <c r="E152" s="8" t="n">
        <v>45</v>
      </c>
      <c r="F152" s="8" t="n">
        <v>39</v>
      </c>
      <c r="G152" s="8" t="n">
        <v>12</v>
      </c>
      <c r="H152" s="8" t="n">
        <v>10</v>
      </c>
      <c r="I152" s="8" t="n">
        <v>15</v>
      </c>
      <c r="J152" s="8" t="n">
        <v>16</v>
      </c>
      <c r="K152" s="8" t="n">
        <v>10</v>
      </c>
      <c r="L152" s="14" t="inlineStr">
        <is>
          <t>装备技能：被动｜攻守兼备｜提升（武器强化等级*1+能量*0.01）点伤害格挡，增加（武器强化等级*2+能量*0.02）点攻击；攻击+武器强化等级×2+最大能量×0.02；最终受伤-weaponEnhanceLevel+maxEnergy*0.01</t>
        </is>
      </c>
    </row>
    <row r="153">
      <c r="A153" s="8" t="inlineStr">
        <is>
          <t>151</t>
        </is>
      </c>
      <c r="B153" s="11" t="inlineStr">
        <is>
          <t>山岳之瞳</t>
        </is>
      </c>
      <c r="C153" s="6" t="inlineStr">
        <is>
          <t>头盔</t>
        </is>
      </c>
      <c r="D153" s="8" t="n">
        <v>1850</v>
      </c>
      <c r="E153" s="8" t="n">
        <v>25</v>
      </c>
      <c r="F153" s="8" t="n">
        <v>2</v>
      </c>
      <c r="G153" s="8" t="n">
        <v>10</v>
      </c>
      <c r="H153" s="8" t="n">
        <v>2</v>
      </c>
      <c r="I153" s="8" t="n">
        <v>4</v>
      </c>
      <c r="J153" s="8" t="n">
        <v>4</v>
      </c>
      <c r="K153" s="8" t="n">
        <v>2</v>
      </c>
      <c r="L153" s="14" t="inlineStr"/>
    </row>
    <row r="154">
      <c r="A154" s="8" t="inlineStr">
        <is>
          <t>152</t>
        </is>
      </c>
      <c r="B154" s="11" t="inlineStr">
        <is>
          <t>裂岩战斧</t>
        </is>
      </c>
      <c r="C154" s="6" t="inlineStr">
        <is>
          <t>武器</t>
        </is>
      </c>
      <c r="D154" s="8" t="n">
        <v>2100</v>
      </c>
      <c r="E154" s="8" t="n">
        <v>8</v>
      </c>
      <c r="F154" s="8" t="n">
        <v>28</v>
      </c>
      <c r="G154" s="8" t="n">
        <v>3</v>
      </c>
      <c r="H154" s="8" t="n">
        <v>0</v>
      </c>
      <c r="I154" s="8" t="n">
        <v>8</v>
      </c>
      <c r="J154" s="8" t="n">
        <v>6</v>
      </c>
      <c r="K154" s="8" t="n">
        <v>0</v>
      </c>
      <c r="L154" s="12" t="inlineStr">
        <is>
          <t>套装【裂岩战斧 + 岩核契约之环】｜主动｜裂岩契约｜耗能12｜CD6｜造成 atk * 1.3 + def * 0.6 + maxEnergy * 0.2 普通伤害，并使目标防御 -12%，持续3回合。；造成攻击×1.3 + 防御×0.6 + 最大能量×0.2伤害；防御 -12%</t>
        </is>
      </c>
    </row>
    <row r="155">
      <c r="A155" s="8" t="inlineStr">
        <is>
          <t>153</t>
        </is>
      </c>
      <c r="B155" s="11" t="inlineStr">
        <is>
          <t>岩核契约之环</t>
        </is>
      </c>
      <c r="C155" s="6" t="inlineStr">
        <is>
          <t>饰品</t>
        </is>
      </c>
      <c r="D155" s="8" t="n">
        <v>2000</v>
      </c>
      <c r="E155" s="8" t="n">
        <v>26</v>
      </c>
      <c r="F155" s="8" t="n">
        <v>1</v>
      </c>
      <c r="G155" s="8" t="n">
        <v>8</v>
      </c>
      <c r="H155" s="8" t="n">
        <v>8</v>
      </c>
      <c r="I155" s="8" t="n">
        <v>5</v>
      </c>
      <c r="J155" s="8" t="n">
        <v>2</v>
      </c>
      <c r="K155" s="8" t="n">
        <v>3</v>
      </c>
      <c r="L155" s="12" t="inlineStr">
        <is>
          <t>套装【裂岩战斧 + 岩核契约之环】｜主动｜裂岩契约｜耗能12｜CD6｜造成 atk * 1.3 + def * 0.6 + maxEnergy * 0.2 普通伤害，并使目标防御 -12%，持续3回合。；造成攻击×1.3 + 防御×0.6 + 最大能量×0.2伤害；防御 -12%</t>
        </is>
      </c>
    </row>
    <row r="156">
      <c r="A156" s="8" t="inlineStr">
        <is>
          <t>154</t>
        </is>
      </c>
      <c r="B156" s="11" t="inlineStr">
        <is>
          <t>蛟瞳炎冠</t>
        </is>
      </c>
      <c r="C156" s="6" t="inlineStr">
        <is>
          <t>头盔</t>
        </is>
      </c>
      <c r="D156" s="8" t="n">
        <v>1750</v>
      </c>
      <c r="E156" s="8" t="n">
        <v>14</v>
      </c>
      <c r="F156" s="8" t="n">
        <v>3</v>
      </c>
      <c r="G156" s="8" t="n">
        <v>7</v>
      </c>
      <c r="H156" s="8" t="n">
        <v>10</v>
      </c>
      <c r="I156" s="8" t="n">
        <v>6</v>
      </c>
      <c r="J156" s="8" t="n">
        <v>2</v>
      </c>
      <c r="K156" s="8" t="n">
        <v>5</v>
      </c>
      <c r="L156" s="12" t="inlineStr">
        <is>
          <t>套装【蛟瞳炎冠 + 赤鳞蜕甲 + 熔迹蛟靴】｜主动｜赤鳞复燃｜耗能15｜CD10｜立即恢复 maxHp * 0.08 + maxEnergy * 0.1 生命值，并获得最终伤害 +12%、普攻附加 atk * 0.12 普通伤害，持续5回合。；回复最大生命×0.08 + 最大能量×0.1生命；最终伤害 +12%；普攻附加 atk * 0.12 普通伤害；套装【蛟瞳炎冠 + 熔迹蛟靴】｜主动｜疾焰突袭｜耗能10｜CD12｜造成 atk * 1.1 + agility * 0.8 + maxEnergy * 0.2 普通伤害，并获得敏捷 +15%，持续2回合。；造成攻击×1.1 + 敏捷×0.8 + 最大能量×0.2伤害；敏捷 +15%</t>
        </is>
      </c>
    </row>
    <row r="157">
      <c r="A157" s="8" t="inlineStr">
        <is>
          <t>155</t>
        </is>
      </c>
      <c r="B157" s="11" t="inlineStr">
        <is>
          <t>赤鳞蜕甲</t>
        </is>
      </c>
      <c r="C157" s="6" t="inlineStr">
        <is>
          <t>护甲</t>
        </is>
      </c>
      <c r="D157" s="8" t="n">
        <v>2050</v>
      </c>
      <c r="E157" s="8" t="n">
        <v>45</v>
      </c>
      <c r="F157" s="8" t="n">
        <v>6</v>
      </c>
      <c r="G157" s="8" t="n">
        <v>16</v>
      </c>
      <c r="H157" s="8" t="n">
        <v>5</v>
      </c>
      <c r="I157" s="8" t="n">
        <v>4</v>
      </c>
      <c r="J157" s="8" t="n">
        <v>3</v>
      </c>
      <c r="K157" s="8" t="n">
        <v>5</v>
      </c>
      <c r="L157" s="12" t="inlineStr">
        <is>
          <t>套装【蛟瞳炎冠 + 赤鳞蜕甲 + 熔迹蛟靴】｜主动｜赤鳞复燃｜耗能15｜CD10｜立即恢复 maxHp * 0.08 + maxEnergy * 0.1 生命值，并获得最终伤害 +12%、普攻附加 atk * 0.12 普通伤害，持续5回合。；回复最大生命×0.08 + 最大能量×0.1生命；最终伤害 +12%；普攻附加 atk * 0.12 普通伤害</t>
        </is>
      </c>
    </row>
    <row r="158">
      <c r="A158" s="8" t="inlineStr">
        <is>
          <t>156</t>
        </is>
      </c>
      <c r="B158" s="11" t="inlineStr">
        <is>
          <t>熔迹蛟靴</t>
        </is>
      </c>
      <c r="C158" s="6" t="inlineStr">
        <is>
          <t>鞋子</t>
        </is>
      </c>
      <c r="D158" s="8" t="n">
        <v>1600</v>
      </c>
      <c r="E158" s="8" t="n">
        <v>8</v>
      </c>
      <c r="F158" s="8" t="n">
        <v>4</v>
      </c>
      <c r="G158" s="8" t="n">
        <v>6</v>
      </c>
      <c r="H158" s="8" t="n">
        <v>3</v>
      </c>
      <c r="I158" s="8" t="n">
        <v>6</v>
      </c>
      <c r="J158" s="8" t="n">
        <v>2</v>
      </c>
      <c r="K158" s="8" t="n">
        <v>8</v>
      </c>
      <c r="L158" s="12" t="inlineStr">
        <is>
          <t>套装【蛟瞳炎冠 + 赤鳞蜕甲 + 熔迹蛟靴】｜主动｜赤鳞复燃｜耗能15｜CD10｜立即恢复 maxHp * 0.08 + maxEnergy * 0.1 生命值，并获得最终伤害 +12%、普攻附加 atk * 0.12 普通伤害，持续5回合。；回复最大生命×0.08 + 最大能量×0.1生命；最终伤害 +12%；普攻附加 atk * 0.12 普通伤害；套装【蛟瞳炎冠 + 熔迹蛟靴】｜主动｜疾焰突袭｜耗能10｜CD12｜造成 atk * 1.1 + agility * 0.8 + maxEnergy * 0.2 普通伤害，并获得敏捷 +15%，持续2回合。；造成攻击×1.1 + 敏捷×0.8 + 最大能量×0.2伤害；敏捷 +15%</t>
        </is>
      </c>
    </row>
    <row r="159">
      <c r="A159" s="8" t="inlineStr">
        <is>
          <t>157</t>
        </is>
      </c>
      <c r="B159" s="11" t="inlineStr">
        <is>
          <t>永夜封灵冠</t>
        </is>
      </c>
      <c r="C159" s="6" t="inlineStr">
        <is>
          <t>头盔</t>
        </is>
      </c>
      <c r="D159" s="8" t="n">
        <v>2500</v>
      </c>
      <c r="E159" s="8" t="n">
        <v>16</v>
      </c>
      <c r="F159" s="8" t="n">
        <v>3</v>
      </c>
      <c r="G159" s="8" t="n">
        <v>11</v>
      </c>
      <c r="H159" s="8" t="n">
        <v>18</v>
      </c>
      <c r="I159" s="8" t="n">
        <v>6</v>
      </c>
      <c r="J159" s="8" t="n">
        <v>3</v>
      </c>
      <c r="K159" s="8" t="n">
        <v>7</v>
      </c>
      <c r="L159" s="12" t="inlineStr">
        <is>
          <t>套装【永夜封灵冠 + 暗影棱镜】｜主动｜封灵暗幕｜耗能20｜CD12｜使目标攻击 -(15 + maxEnergy * 0.02)%、治疗 -40%，持续5回合。；攻击 -(15+能量*0.02)%；治疗 -40%；套装【永夜封灵冠 + 亡者均势之铠】｜被动｜生死均势｜敌方生命高于50%时自身最终受伤 -10%；敌方生命低于50%时自身最终伤害 +10%。同时获得 maxEnergy * 0.01 的攻击和防御。；攻击 +能量*0.01；防御 +能量*0.01；最终受伤 -10%；最终伤害 +10%</t>
        </is>
      </c>
    </row>
    <row r="160">
      <c r="A160" s="8" t="inlineStr">
        <is>
          <t>158</t>
        </is>
      </c>
      <c r="B160" s="11" t="inlineStr">
        <is>
          <t>暗影棱镜</t>
        </is>
      </c>
      <c r="C160" s="6" t="inlineStr">
        <is>
          <t>饰品</t>
        </is>
      </c>
      <c r="D160" s="8" t="n">
        <v>2400</v>
      </c>
      <c r="E160" s="8" t="n">
        <v>5</v>
      </c>
      <c r="F160" s="8" t="n">
        <v>6</v>
      </c>
      <c r="G160" s="8" t="n">
        <v>3</v>
      </c>
      <c r="H160" s="8" t="n">
        <v>25</v>
      </c>
      <c r="I160" s="8" t="n">
        <v>7</v>
      </c>
      <c r="J160" s="8" t="n">
        <v>4</v>
      </c>
      <c r="K160" s="8" t="n">
        <v>4</v>
      </c>
      <c r="L160" s="12" t="inlineStr">
        <is>
          <t>套装【永夜封灵冠 + 暗影棱镜】｜主动｜封灵暗幕｜耗能20｜CD12｜使目标攻击 -(15 + maxEnergy * 0.02)%、治疗 -40%，持续5回合。；攻击 -(15+能量*0.02)%；治疗 -40%</t>
        </is>
      </c>
    </row>
    <row r="161">
      <c r="A161" s="8" t="inlineStr">
        <is>
          <t>159</t>
        </is>
      </c>
      <c r="B161" s="11" t="inlineStr">
        <is>
          <t>亡者均势之铠</t>
        </is>
      </c>
      <c r="C161" s="6" t="inlineStr">
        <is>
          <t>护甲</t>
        </is>
      </c>
      <c r="D161" s="8" t="n">
        <v>3400</v>
      </c>
      <c r="E161" s="8" t="n">
        <v>60</v>
      </c>
      <c r="F161" s="8" t="n">
        <v>5</v>
      </c>
      <c r="G161" s="8" t="n">
        <v>25</v>
      </c>
      <c r="H161" s="8" t="n">
        <v>5</v>
      </c>
      <c r="I161" s="8" t="n">
        <v>4</v>
      </c>
      <c r="J161" s="8" t="n">
        <v>1</v>
      </c>
      <c r="K161" s="8" t="n">
        <v>5</v>
      </c>
      <c r="L161" s="12" t="inlineStr">
        <is>
          <t>套装【永夜封灵冠 + 亡者均势之铠】｜被动｜生死均势｜敌方生命高于50%时自身最终受伤 -10%；敌方生命低于50%时自身最终伤害 +10%。同时获得 maxEnergy * 0.01 的攻击和防御。；攻击 +能量*0.01；防御 +能量*0.01；最终受伤 -10%；最终伤害 +10%；套装【亡者均势之铠 + 流瘟裂骨杵】｜主动｜瘟骨压迫｜耗能18｜CD12｜造成 atk * 2 + maxHp * 0.08 普通伤害，并使目标治疗 -50%，持续6回合。；造成攻击×2 + 最大生命×0.08伤害；治疗 -50%</t>
        </is>
      </c>
    </row>
    <row r="162">
      <c r="A162" s="8" t="inlineStr">
        <is>
          <t>160</t>
        </is>
      </c>
      <c r="B162" s="11" t="inlineStr">
        <is>
          <t>流瘟裂骨杵</t>
        </is>
      </c>
      <c r="C162" s="6" t="inlineStr">
        <is>
          <t>武器</t>
        </is>
      </c>
      <c r="D162" s="8" t="n">
        <v>2950</v>
      </c>
      <c r="E162" s="8" t="n">
        <v>14</v>
      </c>
      <c r="F162" s="8" t="n">
        <v>29</v>
      </c>
      <c r="G162" s="8" t="n">
        <v>4</v>
      </c>
      <c r="H162" s="8" t="n">
        <v>5</v>
      </c>
      <c r="I162" s="8" t="n">
        <v>10</v>
      </c>
      <c r="J162" s="8" t="n">
        <v>8</v>
      </c>
      <c r="K162" s="8" t="n">
        <v>2</v>
      </c>
      <c r="L162" s="12" t="inlineStr">
        <is>
          <t>套装【亡者均势之铠 + 流瘟裂骨杵】｜主动｜瘟骨压迫｜耗能18｜CD12｜造成 atk * 2 + maxHp * 0.08 普通伤害，并使目标治疗 -50%，持续6回合。；造成攻击×2 + 最大生命×0.08伤害；治疗 -50%</t>
        </is>
      </c>
    </row>
    <row r="163">
      <c r="A163" s="8" t="inlineStr">
        <is>
          <t>161</t>
        </is>
      </c>
      <c r="B163" s="11" t="inlineStr">
        <is>
          <t>风怒战环</t>
        </is>
      </c>
      <c r="C163" s="6" t="inlineStr">
        <is>
          <t>饰品</t>
        </is>
      </c>
      <c r="D163" s="8" t="n">
        <v>3100</v>
      </c>
      <c r="E163" s="8" t="n">
        <v>8</v>
      </c>
      <c r="F163" s="8" t="n">
        <v>10</v>
      </c>
      <c r="G163" s="8" t="n">
        <v>5</v>
      </c>
      <c r="H163" s="8" t="n">
        <v>15</v>
      </c>
      <c r="I163" s="8" t="n">
        <v>8</v>
      </c>
      <c r="J163" s="8" t="n">
        <v>6</v>
      </c>
      <c r="K163" s="8" t="n">
        <v>15</v>
      </c>
      <c r="L163" s="12" t="inlineStr">
        <is>
          <t>套装【风怒战环 + 万风王冠】｜被动｜王风号令｜敏捷永久提升 maxEnergy * 0.012%，第1回合获得必命中1回合。；敏捷+最大能量×0.012%；必定命中</t>
        </is>
      </c>
    </row>
    <row r="164">
      <c r="A164" s="8" t="inlineStr">
        <is>
          <t>162</t>
        </is>
      </c>
      <c r="B164" s="11" t="inlineStr">
        <is>
          <t>万风王冠</t>
        </is>
      </c>
      <c r="C164" s="6" t="inlineStr">
        <is>
          <t>头盔</t>
        </is>
      </c>
      <c r="D164" s="8" t="n">
        <v>2900</v>
      </c>
      <c r="E164" s="8" t="n">
        <v>15</v>
      </c>
      <c r="F164" s="8" t="n">
        <v>3</v>
      </c>
      <c r="G164" s="8" t="n">
        <v>11</v>
      </c>
      <c r="H164" s="8" t="n">
        <v>15</v>
      </c>
      <c r="I164" s="8" t="n">
        <v>10</v>
      </c>
      <c r="J164" s="8" t="n">
        <v>5</v>
      </c>
      <c r="K164" s="8" t="n">
        <v>11</v>
      </c>
      <c r="L164" s="12" t="inlineStr">
        <is>
          <t>套装【风怒战环 + 万风王冠】｜被动｜王风号令｜敏捷永久提升 maxEnergy * 0.012%，第1回合获得必命中1回合。；敏捷+最大能量×0.012%；必定命中</t>
        </is>
      </c>
    </row>
    <row r="165">
      <c r="A165" s="8" t="inlineStr">
        <is>
          <t>163</t>
        </is>
      </c>
      <c r="B165" s="11" t="inlineStr">
        <is>
          <t>时光之瞬面罩</t>
        </is>
      </c>
      <c r="C165" s="6" t="inlineStr">
        <is>
          <t>头盔</t>
        </is>
      </c>
      <c r="D165" s="8" t="n">
        <v>3150</v>
      </c>
      <c r="E165" s="8" t="n">
        <v>8</v>
      </c>
      <c r="F165" s="8" t="n">
        <v>10</v>
      </c>
      <c r="G165" s="8" t="n">
        <v>9</v>
      </c>
      <c r="H165" s="8" t="n">
        <v>5</v>
      </c>
      <c r="I165" s="8" t="n">
        <v>15</v>
      </c>
      <c r="J165" s="8" t="n">
        <v>7</v>
      </c>
      <c r="K165" s="8" t="n">
        <v>12</v>
      </c>
      <c r="L165" s="12" t="inlineStr">
        <is>
          <t>套装【时光之瞬面罩 + 永恒编织者甲胄 + 光阴秘钥】｜主动｜回溯织线｜耗能35｜CD18｜恢复 maxHp * 0.2 + maxEnergy * 0.1 生命值，并获得最终受伤 -(20 + maxEnergy * 0.01)%，持续3回合。；回复最大生命×0.2 + 最大能量×0.1生命；最终受伤 -(20+能量*0.01)%；套装【时光之瞬面罩 + 流光行者踏靴】｜主动｜瞬时偏移｜耗能18｜CD10｜获得必闪1回合，并获得敏捷 +20%，持续3回合。；必定闪避；敏捷 +20%</t>
        </is>
      </c>
    </row>
    <row r="166">
      <c r="A166" s="8" t="inlineStr">
        <is>
          <t>164</t>
        </is>
      </c>
      <c r="B166" s="11" t="inlineStr">
        <is>
          <t>永恒编织者甲胄</t>
        </is>
      </c>
      <c r="C166" s="6" t="inlineStr">
        <is>
          <t>护甲</t>
        </is>
      </c>
      <c r="D166" s="8" t="n">
        <v>4100</v>
      </c>
      <c r="E166" s="8" t="n">
        <v>90</v>
      </c>
      <c r="F166" s="8" t="n">
        <v>8</v>
      </c>
      <c r="G166" s="8" t="n">
        <v>28</v>
      </c>
      <c r="H166" s="8" t="n">
        <v>8</v>
      </c>
      <c r="I166" s="8" t="n">
        <v>9</v>
      </c>
      <c r="J166" s="8" t="n">
        <v>2</v>
      </c>
      <c r="K166" s="8" t="n">
        <v>7</v>
      </c>
      <c r="L166" s="12" t="inlineStr">
        <is>
          <t>套装【时光之瞬面罩 + 永恒编织者甲胄 + 光阴秘钥】｜主动｜回溯织线｜耗能35｜CD18｜恢复 maxHp * 0.2 + maxEnergy * 0.1 生命值，并获得最终受伤 -(20 + maxEnergy * 0.01)%，持续3回合。；回复最大生命×0.2 + 最大能量×0.1生命；最终受伤 -(20+能量*0.01)%</t>
        </is>
      </c>
    </row>
    <row r="167">
      <c r="A167" s="8" t="inlineStr">
        <is>
          <t>165</t>
        </is>
      </c>
      <c r="B167" s="11" t="inlineStr">
        <is>
          <t>流光行者踏靴</t>
        </is>
      </c>
      <c r="C167" s="6" t="inlineStr">
        <is>
          <t>鞋子</t>
        </is>
      </c>
      <c r="D167" s="8" t="n">
        <v>3500</v>
      </c>
      <c r="E167" s="8" t="n">
        <v>12</v>
      </c>
      <c r="F167" s="8" t="n">
        <v>3</v>
      </c>
      <c r="G167" s="8" t="n">
        <v>10</v>
      </c>
      <c r="H167" s="8" t="n">
        <v>22</v>
      </c>
      <c r="I167" s="8" t="n">
        <v>12</v>
      </c>
      <c r="J167" s="8" t="n">
        <v>4</v>
      </c>
      <c r="K167" s="8" t="n">
        <v>25</v>
      </c>
      <c r="L167" s="12" t="inlineStr">
        <is>
          <t>套装【时光之瞬面罩 + 流光行者踏靴】｜主动｜瞬时偏移｜耗能18｜CD10｜获得必闪1回合，并获得敏捷 +20%，持续3回合。；必定闪避；敏捷 +20%；套装【流光行者踏靴 + 光阴秘钥】｜被动｜秘钥开环｜第5回合获得最终伤害 +20%，持续2回合，并造成 maxEnergy * 2.5 普通伤害。；最终伤害 +20%；造成最大能量×2.5固定伤害</t>
        </is>
      </c>
    </row>
    <row r="168">
      <c r="A168" s="8" t="inlineStr">
        <is>
          <t>166</t>
        </is>
      </c>
      <c r="B168" s="11" t="inlineStr">
        <is>
          <t>光阴秘钥</t>
        </is>
      </c>
      <c r="C168" s="6" t="inlineStr">
        <is>
          <t>饰品</t>
        </is>
      </c>
      <c r="D168" s="8" t="n">
        <v>3150</v>
      </c>
      <c r="E168" s="8" t="n">
        <v>15</v>
      </c>
      <c r="F168" s="8" t="n">
        <v>8</v>
      </c>
      <c r="G168" s="8" t="n">
        <v>7</v>
      </c>
      <c r="H168" s="8" t="n">
        <v>18</v>
      </c>
      <c r="I168" s="8" t="n">
        <v>10</v>
      </c>
      <c r="J168" s="8" t="n">
        <v>5</v>
      </c>
      <c r="K168" s="8" t="n">
        <v>13</v>
      </c>
      <c r="L168" s="12" t="inlineStr">
        <is>
          <t>套装【时光之瞬面罩 + 永恒编织者甲胄 + 光阴秘钥】｜主动｜回溯织线｜耗能35｜CD18｜恢复 maxHp * 0.2 + maxEnergy * 0.1 生命值，并获得最终受伤 -(20 + maxEnergy * 0.01)%，持续3回合。；回复最大生命×0.2 + 最大能量×0.1生命；最终受伤 -(20+能量*0.01)%；套装【流光行者踏靴 + 光阴秘钥】｜被动｜秘钥开环｜第5回合获得最终伤害 +20%，持续2回合，并造成 maxEnergy * 2.5 普通伤害。；最终伤害 +20%；造成最大能量×2.5固定伤害</t>
        </is>
      </c>
    </row>
    <row r="169">
      <c r="A169" s="8" t="inlineStr">
        <is>
          <t>167</t>
        </is>
      </c>
      <c r="B169" s="11" t="inlineStr">
        <is>
          <t>日月天衡冠</t>
        </is>
      </c>
      <c r="C169" s="6" t="inlineStr">
        <is>
          <t>头盔</t>
        </is>
      </c>
      <c r="D169" s="8" t="n">
        <v>3150</v>
      </c>
      <c r="E169" s="8" t="n">
        <v>16</v>
      </c>
      <c r="F169" s="8" t="n">
        <v>4</v>
      </c>
      <c r="G169" s="8" t="n">
        <v>15</v>
      </c>
      <c r="H169" s="8" t="n">
        <v>24</v>
      </c>
      <c r="I169" s="8" t="n">
        <v>9</v>
      </c>
      <c r="J169" s="8" t="n">
        <v>6</v>
      </c>
      <c r="K169" s="8" t="n">
        <v>11</v>
      </c>
      <c r="L169" s="12" t="inlineStr">
        <is>
          <t>套装【日月天衡冠 + 日月裁决 + 日耀之环】｜主动｜日耀审判｜耗能50｜CD20｜造成 atk * 1.3 + crit * 1.2 + penetration + maxEnergy * 0.5 普通伤害，且自身获得最终伤害 +(5 + maxEnergy * 0.01)%，持续2回合。；造成攻击×1.3 + 暴击×1.2 + 破甲 + 最大能量×0.5伤害；最终伤害 +(5+能量*0.01)%；套装【日月天衡冠 + 日月踏罡靴 + 月华之环】｜被动｜月华守衡｜每回合根据敌方血量切换：敌方生命不低于50%时自身最终受伤 -(5 + maxEnergy * 0.01)%；敌方生命低于50%时自身敏捷 +(5 + maxEnergy * 0.01)%。；最终受伤 -(5+能量*0.01)%；敏捷 +(5+能量*0.01)%</t>
        </is>
      </c>
    </row>
    <row r="170">
      <c r="A170" s="8" t="inlineStr">
        <is>
          <t>168</t>
        </is>
      </c>
      <c r="B170" s="11" t="inlineStr">
        <is>
          <t>日月踏罡靴</t>
        </is>
      </c>
      <c r="C170" s="6" t="inlineStr">
        <is>
          <t>鞋子</t>
        </is>
      </c>
      <c r="D170" s="8" t="n">
        <v>3300</v>
      </c>
      <c r="E170" s="8" t="n">
        <v>25</v>
      </c>
      <c r="F170" s="8" t="n">
        <v>2</v>
      </c>
      <c r="G170" s="8" t="n">
        <v>16</v>
      </c>
      <c r="H170" s="8" t="n">
        <v>18</v>
      </c>
      <c r="I170" s="8" t="n">
        <v>10</v>
      </c>
      <c r="J170" s="8" t="n">
        <v>3</v>
      </c>
      <c r="K170" s="8" t="n">
        <v>16</v>
      </c>
      <c r="L170" s="12" t="inlineStr">
        <is>
          <t>套装【日月天衡冠 + 日月踏罡靴 + 月华之环】｜被动｜月华守衡｜每回合根据敌方血量切换：敌方生命不低于50%时自身最终受伤 -(5 + maxEnergy * 0.01)%；敌方生命低于50%时自身敏捷 +(5 + maxEnergy * 0.01)%。；最终受伤 -(5+能量*0.01)%；敏捷 +(5+能量*0.01)%；套装【日月踏罡靴 + 日月裁决】｜主动｜踏罡裁影｜耗能20｜CD8｜造成 atk * 1.1 + agility * 0.7 普通伤害，并获得必命中2回合。；造成攻击×1.1 + 敏捷×0.7伤害；必定命中</t>
        </is>
      </c>
    </row>
    <row r="171">
      <c r="A171" s="8" t="inlineStr">
        <is>
          <t>169</t>
        </is>
      </c>
      <c r="B171" s="11" t="inlineStr">
        <is>
          <t>日月裁决</t>
        </is>
      </c>
      <c r="C171" s="6" t="inlineStr">
        <is>
          <t>武器</t>
        </is>
      </c>
      <c r="D171" s="8" t="n">
        <v>4000</v>
      </c>
      <c r="E171" s="8" t="n">
        <v>0</v>
      </c>
      <c r="F171" s="8" t="n">
        <v>42</v>
      </c>
      <c r="G171" s="8" t="n">
        <v>1</v>
      </c>
      <c r="H171" s="8" t="n">
        <v>5</v>
      </c>
      <c r="I171" s="8" t="n">
        <v>18</v>
      </c>
      <c r="J171" s="8" t="n">
        <v>12</v>
      </c>
      <c r="K171" s="8" t="n">
        <v>12</v>
      </c>
      <c r="L171" s="12" t="inlineStr">
        <is>
          <t>套装【日月天衡冠 + 日月裁决 + 日耀之环】｜主动｜日耀审判｜耗能50｜CD20｜造成 atk * 1.3 + crit * 1.2 + penetration + maxEnergy * 0.5 普通伤害，且自身获得最终伤害 +(5 + maxEnergy * 0.01)%，持续2回合。；造成攻击×1.3 + 暴击×1.2 + 破甲 + 最大能量×0.5伤害；最终伤害 +(5+能量*0.01)%；套装【日月踏罡靴 + 日月裁决】｜主动｜踏罡裁影｜耗能20｜CD8｜造成 atk * 1.1 + agility * 0.7 普通伤害，并获得必命中2回合。；造成攻击×1.1 + 敏捷×0.7伤害；必定命中</t>
        </is>
      </c>
    </row>
    <row r="172">
      <c r="A172" s="8" t="inlineStr">
        <is>
          <t>170</t>
        </is>
      </c>
      <c r="B172" s="11" t="inlineStr">
        <is>
          <t>日耀之环</t>
        </is>
      </c>
      <c r="C172" s="6" t="inlineStr">
        <is>
          <t>饰品</t>
        </is>
      </c>
      <c r="D172" s="8" t="n">
        <v>3000</v>
      </c>
      <c r="E172" s="8" t="n">
        <v>11</v>
      </c>
      <c r="F172" s="8" t="n">
        <v>12</v>
      </c>
      <c r="G172" s="8" t="n">
        <v>6</v>
      </c>
      <c r="H172" s="8" t="n">
        <v>20</v>
      </c>
      <c r="I172" s="8" t="n">
        <v>12</v>
      </c>
      <c r="J172" s="8" t="n">
        <v>6</v>
      </c>
      <c r="K172" s="8" t="n">
        <v>6</v>
      </c>
      <c r="L172" s="12" t="inlineStr">
        <is>
          <t>套装【日月天衡冠 + 日月裁决 + 日耀之环】｜主动｜日耀审判｜耗能50｜CD20｜造成 atk * 1.3 + crit * 1.2 + penetration + maxEnergy * 0.5 普通伤害，且自身获得最终伤害 +(5 + maxEnergy * 0.01)%，持续2回合。；造成攻击×1.3 + 暴击×1.2 + 破甲 + 最大能量×0.5伤害；最终伤害 +(5+能量*0.01)%</t>
        </is>
      </c>
    </row>
    <row r="173">
      <c r="A173" s="8" t="inlineStr">
        <is>
          <t>171</t>
        </is>
      </c>
      <c r="B173" s="11" t="inlineStr">
        <is>
          <t>月华之环</t>
        </is>
      </c>
      <c r="C173" s="6" t="inlineStr">
        <is>
          <t>饰品</t>
        </is>
      </c>
      <c r="D173" s="8" t="n">
        <v>3000</v>
      </c>
      <c r="E173" s="8" t="n">
        <v>19</v>
      </c>
      <c r="F173" s="8" t="n">
        <v>5</v>
      </c>
      <c r="G173" s="8" t="n">
        <v>13</v>
      </c>
      <c r="H173" s="8" t="n">
        <v>20</v>
      </c>
      <c r="I173" s="8" t="n">
        <v>9</v>
      </c>
      <c r="J173" s="8" t="n">
        <v>2</v>
      </c>
      <c r="K173" s="8" t="n">
        <v>11</v>
      </c>
      <c r="L173" s="12" t="inlineStr">
        <is>
          <t>套装【日月天衡冠 + 日月踏罡靴 + 月华之环】｜被动｜月华守衡｜每回合根据敌方血量切换：敌方生命不低于50%时自身最终受伤 -(5 + maxEnergy * 0.01)%；敌方生命低于50%时自身敏捷 +(5 + maxEnergy * 0.01)%。；最终受伤 -(5+能量*0.01)%；敏捷 +(5+能量*0.01)%</t>
        </is>
      </c>
    </row>
    <row r="174">
      <c r="A174" s="6" t="n">
        <v>172</v>
      </c>
      <c r="B174" s="18" t="inlineStr">
        <is>
          <t>岩火守望冠</t>
        </is>
      </c>
      <c r="C174" s="6" t="inlineStr">
        <is>
          <t>头盔</t>
        </is>
      </c>
      <c r="D174" s="8" t="n">
        <v>0</v>
      </c>
      <c r="E174" s="8" t="n">
        <v>22</v>
      </c>
      <c r="F174" s="8" t="n">
        <v>4</v>
      </c>
      <c r="G174" s="8" t="n">
        <v>11</v>
      </c>
      <c r="H174" s="8" t="n">
        <v>8</v>
      </c>
      <c r="I174" s="8" t="n">
        <v>7</v>
      </c>
      <c r="J174" s="8" t="n">
        <v>4</v>
      </c>
      <c r="K174" s="8" t="n">
        <v>2</v>
      </c>
      <c r="L174" s="12" t="inlineStr">
        <is>
          <t>装备技能：被动｜岩火守望｜战斗开始获得格挡 helmetEnhanceLevel + maxEnergy * 0.04，持续5回合，第6回合获得5%的暴击提升，持续单次战斗。；格挡提升；暴击 +5%</t>
        </is>
      </c>
    </row>
    <row r="175">
      <c r="A175" s="6" t="n">
        <v>173</v>
      </c>
      <c r="B175" s="18" t="inlineStr">
        <is>
          <t>裂岩赤鳞甲</t>
        </is>
      </c>
      <c r="C175" s="6" t="inlineStr">
        <is>
          <t>护甲</t>
        </is>
      </c>
      <c r="D175" s="8" t="n">
        <v>0</v>
      </c>
      <c r="E175" s="8" t="n">
        <v>60</v>
      </c>
      <c r="F175" s="8" t="n">
        <v>6</v>
      </c>
      <c r="G175" s="8" t="n">
        <v>21</v>
      </c>
      <c r="H175" s="8" t="n">
        <v>5</v>
      </c>
      <c r="I175" s="8" t="n">
        <v>7</v>
      </c>
      <c r="J175" s="8" t="n">
        <v>1</v>
      </c>
      <c r="K175" s="8" t="n">
        <v>5</v>
      </c>
      <c r="L175" s="12" t="inlineStr">
        <is>
          <t>装备技能：主动｜裂鳞护体｜耗能12｜CD12｜恢复 maxHp * 0.08 + maxEnergy * 0.2，并获得最终受伤降低，持续3回合。；回复最大生命×0.08 + 最大能量×0.2生命；最终受伤降低</t>
        </is>
      </c>
    </row>
    <row r="176">
      <c r="A176" s="6" t="n">
        <v>174</v>
      </c>
      <c r="B176" s="18" t="inlineStr">
        <is>
          <t>岩核熔迹环</t>
        </is>
      </c>
      <c r="C176" s="6" t="inlineStr">
        <is>
          <t>饰品</t>
        </is>
      </c>
      <c r="D176" s="8" t="n">
        <v>0</v>
      </c>
      <c r="E176" s="8" t="n">
        <v>8</v>
      </c>
      <c r="F176" s="8" t="n">
        <v>6</v>
      </c>
      <c r="G176" s="8" t="n">
        <v>4</v>
      </c>
      <c r="H176" s="8" t="n">
        <v>10</v>
      </c>
      <c r="I176" s="8" t="n">
        <v>12</v>
      </c>
      <c r="J176" s="8" t="n">
        <v>4</v>
      </c>
      <c r="K176" s="8" t="n">
        <v>5</v>
      </c>
      <c r="L176" s="12" t="inlineStr">
        <is>
          <t>装备技能：被动｜岩核蓄热｜攻击提升 maxEnergy * 0.03，穿透提升 4 + maxEnergy * 0.005%。；攻击提升；穿透提升</t>
        </is>
      </c>
    </row>
    <row r="177">
      <c r="A177" s="6" t="n">
        <v>175</v>
      </c>
      <c r="B177" s="18" t="inlineStr">
        <is>
          <t>死灵均衡铠</t>
        </is>
      </c>
      <c r="C177" s="6" t="inlineStr">
        <is>
          <t>护甲</t>
        </is>
      </c>
      <c r="D177" s="8" t="n">
        <v>0</v>
      </c>
      <c r="E177" s="8" t="n">
        <v>62</v>
      </c>
      <c r="F177" s="8" t="n">
        <v>5</v>
      </c>
      <c r="G177" s="8" t="n">
        <v>25</v>
      </c>
      <c r="H177" s="8" t="n">
        <v>5</v>
      </c>
      <c r="I177" s="8" t="n">
        <v>5</v>
      </c>
      <c r="J177" s="8" t="n">
        <v>1</v>
      </c>
      <c r="K177" s="8" t="n">
        <v>5</v>
      </c>
      <c r="L177" s="12" t="inlineStr">
        <is>
          <t>装备技能：被动｜亡者均衡｜被动。敌方 HP &gt;= 50% 时自身最终受伤 -(3 + maxEnergy * 0.01)%；敌方 HP &lt; 50% 时自身最终伤害 +(3 + maxEnergy * 0.01)%。；最终受伤降低；最终伤害提升</t>
        </is>
      </c>
    </row>
    <row r="178">
      <c r="A178" s="6" t="n">
        <v>176</v>
      </c>
      <c r="B178" s="18" t="inlineStr">
        <is>
          <t>瘟疫魔刃</t>
        </is>
      </c>
      <c r="C178" s="6" t="inlineStr">
        <is>
          <t>武器</t>
        </is>
      </c>
      <c r="D178" s="8" t="n">
        <v>0</v>
      </c>
      <c r="E178" s="8" t="n">
        <v>12</v>
      </c>
      <c r="F178" s="8" t="n">
        <v>31</v>
      </c>
      <c r="G178" s="8" t="n">
        <v>5</v>
      </c>
      <c r="H178" s="8" t="n">
        <v>10</v>
      </c>
      <c r="I178" s="8" t="n">
        <v>14</v>
      </c>
      <c r="J178" s="8" t="n">
        <v>10</v>
      </c>
      <c r="K178" s="8" t="n">
        <v>3</v>
      </c>
      <c r="L178" s="12" t="inlineStr">
        <is>
          <t>装备技能：主动｜瘟骨裂击｜耗能20｜CD15｜主动。消耗 20，冷却 15，造成 atk * 1.5 + maxHp * 0.05 + maxEnergy * 0.4 普通伤害，并使目标治疗 -(35 + maxEnergy * 0.02)%，持续 5 回合。；造成攻击×1.5 + 最大生命×0.05 + 最大能量×0.4伤害；治疗降低</t>
        </is>
      </c>
    </row>
    <row r="179">
      <c r="A179" s="6" t="n">
        <v>177</v>
      </c>
      <c r="B179" s="18" t="inlineStr">
        <is>
          <t>魔武狩猎者之靴</t>
        </is>
      </c>
      <c r="C179" s="6" t="inlineStr">
        <is>
          <t>鞋子</t>
        </is>
      </c>
      <c r="D179" s="8" t="n">
        <v>0</v>
      </c>
      <c r="E179" s="8" t="n">
        <v>10</v>
      </c>
      <c r="F179" s="8" t="n">
        <v>6</v>
      </c>
      <c r="G179" s="8" t="n">
        <v>9</v>
      </c>
      <c r="H179" s="8" t="n">
        <v>10</v>
      </c>
      <c r="I179" s="8" t="n">
        <v>8</v>
      </c>
      <c r="J179" s="8" t="n">
        <v>5</v>
      </c>
      <c r="K179" s="8" t="n">
        <v>12</v>
      </c>
      <c r="L179" s="12" t="inlineStr">
        <is>
          <t>装备技能：被动｜狩猎形态｜被动。第 1 回合获得敏捷 +(6 + maxEnergy * 0.01)%，并获得必命中 1 回合。；敏捷提升；施加必中</t>
        </is>
      </c>
    </row>
    <row r="180">
      <c r="A180" s="6" t="n">
        <v>178</v>
      </c>
      <c r="B180" s="18" t="inlineStr">
        <is>
          <t>暴风神甲</t>
        </is>
      </c>
      <c r="C180" s="6" t="inlineStr">
        <is>
          <t>护甲</t>
        </is>
      </c>
      <c r="D180" s="8" t="n">
        <v>0</v>
      </c>
      <c r="E180" s="8" t="n">
        <v>72</v>
      </c>
      <c r="F180" s="8" t="n">
        <v>8</v>
      </c>
      <c r="G180" s="8" t="n">
        <v>22</v>
      </c>
      <c r="H180" s="8" t="n">
        <v>10</v>
      </c>
      <c r="I180" s="8" t="n">
        <v>8</v>
      </c>
      <c r="J180" s="8" t="n">
        <v>4</v>
      </c>
      <c r="K180" s="8" t="n">
        <v>10</v>
      </c>
      <c r="L180" s="12" t="inlineStr">
        <is>
          <t>装备技能：被动｜暴风扰动｜被动。每回合使敌方最终伤害 -(5 + maxEnergy * 0.01)%。；最终伤害降低</t>
        </is>
      </c>
    </row>
    <row r="181">
      <c r="A181" s="6" t="n">
        <v>179</v>
      </c>
      <c r="B181" s="18" t="inlineStr">
        <is>
          <t>风暴戟刃</t>
        </is>
      </c>
      <c r="C181" s="6" t="inlineStr">
        <is>
          <t>武器</t>
        </is>
      </c>
      <c r="D181" s="8" t="n">
        <v>0</v>
      </c>
      <c r="E181" s="8" t="n">
        <v>3</v>
      </c>
      <c r="F181" s="8" t="n">
        <v>36</v>
      </c>
      <c r="G181" s="8" t="n">
        <v>2</v>
      </c>
      <c r="H181" s="8" t="n">
        <v>12</v>
      </c>
      <c r="I181" s="8" t="n">
        <v>16</v>
      </c>
      <c r="J181" s="8" t="n">
        <v>14</v>
      </c>
      <c r="K181" s="8" t="n">
        <v>15</v>
      </c>
      <c r="L181" s="12" t="inlineStr">
        <is>
          <t>装备技能：主动｜风暴穿刺｜耗能40｜CD12｜主动。消耗 40，冷却 12，造成 atk * 1.25 + agility * 0.65 + penetration * 0.7 + maxEnergy * 0.3 普通伤害。；造成攻击×1.25 + 敏捷×0.65 + 破甲×0.7 + 最大能量×0.3伤害</t>
        </is>
      </c>
    </row>
    <row r="182">
      <c r="A182" s="6" t="n">
        <v>180</v>
      </c>
      <c r="B182" s="18" t="inlineStr">
        <is>
          <t>光阴巡猎战刃</t>
        </is>
      </c>
      <c r="C182" s="6" t="inlineStr">
        <is>
          <t>武器</t>
        </is>
      </c>
      <c r="D182" s="8" t="n">
        <v>0</v>
      </c>
      <c r="E182" s="8" t="n">
        <v>3</v>
      </c>
      <c r="F182" s="8" t="n">
        <v>42</v>
      </c>
      <c r="G182" s="8" t="n">
        <v>1</v>
      </c>
      <c r="H182" s="8" t="n">
        <v>16</v>
      </c>
      <c r="I182" s="8" t="n">
        <v>16</v>
      </c>
      <c r="J182" s="8" t="n">
        <v>12</v>
      </c>
      <c r="K182" s="8" t="n">
        <v>17</v>
      </c>
      <c r="L182" s="12" t="inlineStr">
        <is>
          <t>装备技能：主动｜光阴疾斩｜耗能28｜CD12｜主动。消耗 28，冷却 12，造成 atk * 1.3 + agility * 0.65 + maxEnergy * 0.5 普通伤害，并获得必命中 1 回合。；造成攻击×1.3 + 敏捷×0.65 + 最大能量×0.5伤害；施加必中</t>
        </is>
      </c>
    </row>
    <row r="183">
      <c r="A183" s="6" t="n">
        <v>181</v>
      </c>
      <c r="B183" s="18" t="inlineStr">
        <is>
          <t>恐惧猎杀之弓</t>
        </is>
      </c>
      <c r="C183" s="6" t="inlineStr">
        <is>
          <t>武器</t>
        </is>
      </c>
      <c r="D183" s="8" t="n">
        <v>0</v>
      </c>
      <c r="E183" s="8" t="n">
        <v>0</v>
      </c>
      <c r="F183" s="8" t="n">
        <v>39</v>
      </c>
      <c r="G183" s="8" t="n">
        <v>0</v>
      </c>
      <c r="H183" s="8" t="n">
        <v>3</v>
      </c>
      <c r="I183" s="8" t="n">
        <v>14</v>
      </c>
      <c r="J183" s="8" t="n">
        <v>16</v>
      </c>
      <c r="K183" s="8" t="n">
        <v>8</v>
      </c>
      <c r="L183" s="12" t="inlineStr">
        <is>
          <t>装备技能：被动｜骇光猎印｜被动。暴击 +(3 + maxEnergy * 0.006)%；第 3 回合获得最终伤害 +(8 + maxEnergy * 0.01)%，持续 2 回合。；暴击提升；最终伤害提升</t>
        </is>
      </c>
    </row>
    <row r="184">
      <c r="A184" s="6" t="n">
        <v>182</v>
      </c>
      <c r="B184" s="18" t="inlineStr">
        <is>
          <t>日月轮衡靴</t>
        </is>
      </c>
      <c r="C184" s="6" t="inlineStr">
        <is>
          <t>鞋子</t>
        </is>
      </c>
      <c r="D184" s="8" t="n">
        <v>0</v>
      </c>
      <c r="E184" s="8" t="n">
        <v>28</v>
      </c>
      <c r="F184" s="8" t="n">
        <v>4</v>
      </c>
      <c r="G184" s="8" t="n">
        <v>16</v>
      </c>
      <c r="H184" s="8" t="n">
        <v>22</v>
      </c>
      <c r="I184" s="8" t="n">
        <v>12</v>
      </c>
      <c r="J184" s="8" t="n">
        <v>5</v>
      </c>
      <c r="K184" s="8" t="n">
        <v>22</v>
      </c>
      <c r="L184" s="12" t="inlineStr">
        <is>
          <t>装备技能：被动｜轮衡步｜被动。敏捷 +(maxEnergy * 0.015)%；第 1 回合获得必命中 1 回合。；敏捷提升；施加必中</t>
        </is>
      </c>
    </row>
    <row r="185">
      <c r="A185" s="6" t="n">
        <v>183</v>
      </c>
      <c r="B185" s="18" t="inlineStr">
        <is>
          <t>日耀裁决刃</t>
        </is>
      </c>
      <c r="C185" s="6" t="inlineStr">
        <is>
          <t>武器</t>
        </is>
      </c>
      <c r="D185" s="8" t="n">
        <v>0</v>
      </c>
      <c r="E185" s="8" t="n">
        <v>3</v>
      </c>
      <c r="F185" s="8" t="n">
        <v>43</v>
      </c>
      <c r="G185" s="8" t="n">
        <v>1</v>
      </c>
      <c r="H185" s="8" t="n">
        <v>18</v>
      </c>
      <c r="I185" s="8" t="n">
        <v>20</v>
      </c>
      <c r="J185" s="8" t="n">
        <v>18</v>
      </c>
      <c r="K185" s="8" t="n">
        <v>14</v>
      </c>
      <c r="L185" s="12" t="inlineStr">
        <is>
          <t>装备技能：主动｜日耀裁决｜耗能45｜CD18｜主动。消耗 45，冷却 18，造成 atk * 1.35 + penetration + maxEnergy * 0.5 普通伤害，并造成当前回合数 * 4 真实伤害，自身最终伤害 +(5 + maxEnergy * 0.01)%，持续 2 回合。；造成攻击×1.35 + 破甲 + 最大能量×0.5伤害；造成turnCount×4固定伤害；最终伤害提升</t>
        </is>
      </c>
    </row>
    <row r="186">
      <c r="A186" s="6" t="n">
        <v>184</v>
      </c>
      <c r="B186" s="18" t="inlineStr">
        <is>
          <t>月华秘镜</t>
        </is>
      </c>
      <c r="C186" s="6" t="inlineStr">
        <is>
          <t>饰品</t>
        </is>
      </c>
      <c r="D186" s="8" t="n">
        <v>0</v>
      </c>
      <c r="E186" s="8" t="n">
        <v>25</v>
      </c>
      <c r="F186" s="8" t="n">
        <v>8</v>
      </c>
      <c r="G186" s="8" t="n">
        <v>15</v>
      </c>
      <c r="H186" s="8" t="n">
        <v>30</v>
      </c>
      <c r="I186" s="8" t="n">
        <v>10</v>
      </c>
      <c r="J186" s="8" t="n">
        <v>6</v>
      </c>
      <c r="K186" s="8" t="n">
        <v>12</v>
      </c>
      <c r="L186" s="12" t="inlineStr">
        <is>
          <t>装备技能：主动｜月华秘钥｜耗能20｜CD18｜主动。消耗 20，冷却 18，恢复 maxHp * 0.1 + maxEnergy * 0.25 生命值，并获得最终受伤 -(15 + maxEnergy * 0.015)%，持续 5 回合。；回复最大生命×0.1 + 最大能量×0.25生命；最终受伤降低</t>
        </is>
      </c>
    </row>
    <row r="187">
      <c r="A187" s="6" t="n">
        <v>185</v>
      </c>
      <c r="B187" s="18" t="inlineStr">
        <is>
          <t>幽幕暴动袍</t>
        </is>
      </c>
      <c r="C187" s="6" t="inlineStr">
        <is>
          <t>护甲</t>
        </is>
      </c>
      <c r="D187" s="8" t="n">
        <v>0</v>
      </c>
      <c r="E187" s="8" t="n">
        <v>90</v>
      </c>
      <c r="F187" s="8" t="n">
        <v>12</v>
      </c>
      <c r="G187" s="8" t="n">
        <v>28</v>
      </c>
      <c r="H187" s="8" t="n">
        <v>25</v>
      </c>
      <c r="I187" s="8" t="n">
        <v>10</v>
      </c>
      <c r="J187" s="8" t="n">
        <v>5</v>
      </c>
      <c r="K187" s="8" t="n">
        <v>14</v>
      </c>
      <c r="L187" s="12" t="inlineStr">
        <is>
          <t>装备技能：主动｜幽幕暴动｜耗能30｜CD18｜主动。消耗 30，冷却 18，获得最终伤害 +(20 + maxEnergy * 0.01)%、敏捷 +(25 + maxEnergy * 0.01)%，持续 6 回合。；最终伤害提升；敏捷提升</t>
        </is>
      </c>
    </row>
    <row r="188">
      <c r="A188" s="6" t="n">
        <v>186</v>
      </c>
      <c r="B188" s="18" t="inlineStr">
        <is>
          <t>哀霜咏叹杖</t>
        </is>
      </c>
      <c r="C188" s="6" t="inlineStr">
        <is>
          <t>武器</t>
        </is>
      </c>
      <c r="D188" s="8" t="n">
        <v>0</v>
      </c>
      <c r="E188" s="8" t="n">
        <v>12</v>
      </c>
      <c r="F188" s="8" t="n">
        <v>42</v>
      </c>
      <c r="G188" s="8" t="n">
        <v>7</v>
      </c>
      <c r="H188" s="8" t="n">
        <v>46</v>
      </c>
      <c r="I188" s="8" t="n">
        <v>17</v>
      </c>
      <c r="J188" s="8" t="n">
        <v>13</v>
      </c>
      <c r="K188" s="8" t="n">
        <v>14</v>
      </c>
      <c r="L188" s="12" t="inlineStr">
        <is>
          <t>装备技能：主动｜哀霜咏叹｜耗能28｜CD12｜主动。消耗 28，冷却 12，使目标防御、敏捷各 -(15 + maxEnergy * 0.01)%，持续 5 回合，并造成 atk + maxEnergy * 0.8 普通伤害。；防御降低；敏捷降低；造成攻击 + 最大能量×0.8伤害</t>
        </is>
      </c>
    </row>
    <row r="189">
      <c r="A189" s="6" t="n">
        <v>187</v>
      </c>
      <c r="B189" s="9" t="inlineStr">
        <is>
          <t>沸血蜥冠</t>
        </is>
      </c>
      <c r="C189" s="6" t="inlineStr">
        <is>
          <t>头盔</t>
        </is>
      </c>
      <c r="D189" s="8" t="n">
        <v>2300</v>
      </c>
      <c r="E189" s="8" t="n">
        <v>15</v>
      </c>
      <c r="F189" s="8" t="n">
        <v>5</v>
      </c>
      <c r="G189" s="8" t="n">
        <v>10</v>
      </c>
      <c r="H189" s="8" t="n">
        <v>10</v>
      </c>
      <c r="I189" s="8" t="n">
        <v>10</v>
      </c>
      <c r="J189" s="8" t="n">
        <v>3</v>
      </c>
      <c r="K189" s="8" t="n">
        <v>5</v>
      </c>
    </row>
    <row r="190">
      <c r="A190" s="6" t="n">
        <v>188</v>
      </c>
      <c r="B190" s="9" t="inlineStr">
        <is>
          <t>铜背铁甲</t>
        </is>
      </c>
      <c r="C190" s="6" t="inlineStr">
        <is>
          <t>护甲</t>
        </is>
      </c>
      <c r="D190" s="8" t="n">
        <v>2300</v>
      </c>
      <c r="E190" s="8" t="n">
        <v>90</v>
      </c>
      <c r="F190" s="8" t="n">
        <v>0</v>
      </c>
      <c r="G190" s="8" t="n">
        <v>25</v>
      </c>
      <c r="H190" s="8" t="n">
        <v>5</v>
      </c>
      <c r="I190" s="8" t="n">
        <v>2</v>
      </c>
      <c r="J190" s="8" t="n">
        <v>1</v>
      </c>
      <c r="K190" s="8" t="n">
        <v>3</v>
      </c>
    </row>
    <row r="191">
      <c r="A191" s="6" t="n">
        <v>189</v>
      </c>
      <c r="B191" s="9" t="inlineStr">
        <is>
          <t>刺鬃裂刃</t>
        </is>
      </c>
      <c r="C191" s="6" t="inlineStr">
        <is>
          <t>武器</t>
        </is>
      </c>
      <c r="D191" s="8" t="n">
        <v>2300</v>
      </c>
      <c r="E191" s="8" t="n">
        <v>0</v>
      </c>
      <c r="F191" s="8" t="n">
        <v>31</v>
      </c>
      <c r="G191" s="8" t="n">
        <v>0</v>
      </c>
      <c r="H191" s="8" t="n">
        <v>0</v>
      </c>
      <c r="I191" s="8" t="n">
        <v>12</v>
      </c>
      <c r="J191" s="8" t="n">
        <v>6</v>
      </c>
      <c r="K191" s="8" t="n">
        <v>9</v>
      </c>
    </row>
    <row r="192">
      <c r="A192" s="6" t="n">
        <v>190</v>
      </c>
      <c r="B192" s="9" t="inlineStr">
        <is>
          <t>赤瞳靴</t>
        </is>
      </c>
      <c r="C192" s="6" t="inlineStr">
        <is>
          <t>鞋子</t>
        </is>
      </c>
      <c r="D192" s="8" t="n">
        <v>2300</v>
      </c>
      <c r="E192" s="8" t="n">
        <v>12</v>
      </c>
      <c r="F192" s="8" t="n">
        <v>3</v>
      </c>
      <c r="G192" s="8" t="n">
        <v>9</v>
      </c>
      <c r="H192" s="8" t="n">
        <v>5</v>
      </c>
      <c r="I192" s="8" t="n">
        <v>8</v>
      </c>
      <c r="J192" s="8" t="n">
        <v>2</v>
      </c>
      <c r="K192" s="8" t="n">
        <v>12</v>
      </c>
    </row>
    <row r="193">
      <c r="A193" s="6" t="n">
        <v>191</v>
      </c>
      <c r="B193" s="9" t="inlineStr">
        <is>
          <t>熔孢之心</t>
        </is>
      </c>
      <c r="C193" s="6" t="inlineStr">
        <is>
          <t>饰品</t>
        </is>
      </c>
      <c r="D193" s="8" t="n">
        <v>2300</v>
      </c>
      <c r="E193" s="8" t="n">
        <v>10</v>
      </c>
      <c r="F193" s="8" t="n">
        <v>5</v>
      </c>
      <c r="G193" s="8" t="n">
        <v>5</v>
      </c>
      <c r="H193" s="8" t="n">
        <v>12</v>
      </c>
      <c r="I193" s="8" t="n">
        <v>7</v>
      </c>
      <c r="J193" s="8" t="n">
        <v>5</v>
      </c>
      <c r="K193" s="8" t="n">
        <v>6</v>
      </c>
    </row>
    <row r="194">
      <c r="A194" s="6" t="n">
        <v>192</v>
      </c>
      <c r="B194" s="10" t="inlineStr">
        <is>
          <t>裂甲犀角盔</t>
        </is>
      </c>
      <c r="C194" s="6" t="inlineStr">
        <is>
          <t>头盔</t>
        </is>
      </c>
      <c r="D194" s="8" t="n">
        <v>3500</v>
      </c>
      <c r="E194" s="8" t="n">
        <v>24</v>
      </c>
      <c r="F194" s="8" t="n">
        <v>5</v>
      </c>
      <c r="G194" s="8" t="n">
        <v>16</v>
      </c>
      <c r="H194" s="8" t="n">
        <v>20</v>
      </c>
      <c r="I194" s="8" t="n">
        <v>7</v>
      </c>
      <c r="J194" s="8" t="n">
        <v>2</v>
      </c>
      <c r="K194" s="8" t="n">
        <v>8</v>
      </c>
    </row>
    <row r="195">
      <c r="A195" s="6" t="n">
        <v>193</v>
      </c>
      <c r="B195" s="10" t="inlineStr">
        <is>
          <t>菌孢披风</t>
        </is>
      </c>
      <c r="C195" s="6" t="inlineStr">
        <is>
          <t>护甲</t>
        </is>
      </c>
      <c r="D195" s="8" t="n">
        <v>3500</v>
      </c>
      <c r="E195" s="8" t="n">
        <v>75</v>
      </c>
      <c r="F195" s="8" t="n">
        <v>3</v>
      </c>
      <c r="G195" s="8" t="n">
        <v>28</v>
      </c>
      <c r="H195" s="8" t="n">
        <v>5</v>
      </c>
      <c r="I195" s="8" t="n">
        <v>9</v>
      </c>
      <c r="J195" s="8" t="n">
        <v>6</v>
      </c>
      <c r="K195" s="8" t="n">
        <v>10</v>
      </c>
    </row>
    <row r="196">
      <c r="A196" s="6" t="n">
        <v>194</v>
      </c>
      <c r="B196" s="10" t="inlineStr">
        <is>
          <t>熔脉鳞靴</t>
        </is>
      </c>
      <c r="C196" s="6" t="inlineStr">
        <is>
          <t>鞋子</t>
        </is>
      </c>
      <c r="D196" s="8" t="n">
        <v>3500</v>
      </c>
      <c r="E196" s="8" t="n">
        <v>26</v>
      </c>
      <c r="F196" s="8" t="n">
        <v>4</v>
      </c>
      <c r="G196" s="8" t="n">
        <v>14</v>
      </c>
      <c r="H196" s="8" t="n">
        <v>8</v>
      </c>
      <c r="I196" s="8" t="n">
        <v>7</v>
      </c>
      <c r="J196" s="8" t="n">
        <v>2</v>
      </c>
      <c r="K196" s="8" t="n">
        <v>14</v>
      </c>
    </row>
    <row r="197">
      <c r="A197" s="6" t="n">
        <v>195</v>
      </c>
      <c r="B197" s="10" t="inlineStr">
        <is>
          <t>督军血印</t>
        </is>
      </c>
      <c r="C197" s="6" t="inlineStr">
        <is>
          <t>饰品</t>
        </is>
      </c>
      <c r="D197" s="8" t="n">
        <v>3500</v>
      </c>
      <c r="E197" s="8" t="n">
        <v>25</v>
      </c>
      <c r="F197" s="8" t="n">
        <v>10</v>
      </c>
      <c r="G197" s="8" t="n">
        <v>10</v>
      </c>
      <c r="H197" s="8" t="n">
        <v>0</v>
      </c>
      <c r="I197" s="8" t="n">
        <v>10</v>
      </c>
      <c r="J197" s="8" t="n">
        <v>0</v>
      </c>
      <c r="K197" s="8" t="n">
        <v>10</v>
      </c>
    </row>
    <row r="198">
      <c r="A198" s="6" t="n">
        <v>196</v>
      </c>
      <c r="B198" s="11" t="inlineStr">
        <is>
          <t>赤沸怒啸战盔</t>
        </is>
      </c>
      <c r="C198" s="6" t="inlineStr">
        <is>
          <t>头盔</t>
        </is>
      </c>
      <c r="D198" s="8" t="n">
        <v>4400</v>
      </c>
      <c r="E198" s="8" t="n">
        <v>25</v>
      </c>
      <c r="F198" s="8" t="n">
        <v>18</v>
      </c>
      <c r="G198" s="8" t="n">
        <v>14</v>
      </c>
      <c r="H198" s="8" t="n">
        <v>12</v>
      </c>
      <c r="I198" s="8" t="n">
        <v>15</v>
      </c>
      <c r="J198" s="8" t="n">
        <v>8</v>
      </c>
      <c r="K198" s="8" t="n">
        <v>10</v>
      </c>
      <c r="L198" s="12" t="inlineStr">
        <is>
          <t>套装【赤沸怒啸战盔 + 沸血战铠 + 沸血践踏者】｜被动｜燃魂之血｜套装被动。携带后降低 maxEnergy * 0.02% 最大生命，并获得最大生命与最大能量换算的攻击和暴击。；攻击+最大生命×最大能量×0.00014；暴击+最大生命×最大能量×0.00014；生命+0 - 最大能量×0.02%</t>
        </is>
      </c>
    </row>
    <row r="199">
      <c r="A199" s="6" t="n">
        <v>197</v>
      </c>
      <c r="B199" s="11" t="inlineStr">
        <is>
          <t>沸血战铠</t>
        </is>
      </c>
      <c r="C199" s="6" t="inlineStr">
        <is>
          <t>护甲</t>
        </is>
      </c>
      <c r="D199" s="8" t="n">
        <v>5000</v>
      </c>
      <c r="E199" s="8" t="n">
        <v>102</v>
      </c>
      <c r="F199" s="8" t="n">
        <v>8</v>
      </c>
      <c r="G199" s="8" t="n">
        <v>35</v>
      </c>
      <c r="H199" s="8" t="n">
        <v>30</v>
      </c>
      <c r="I199" s="8" t="n">
        <v>8</v>
      </c>
      <c r="J199" s="8" t="n">
        <v>3</v>
      </c>
      <c r="K199" s="8" t="n">
        <v>8</v>
      </c>
      <c r="L199" s="12" t="inlineStr">
        <is>
          <t>套装【赤沸怒啸战盔 + 沸血战铠 + 沸血践踏者】｜被动｜燃魂之血｜套装被动。携带后降低 maxEnergy * 0.02% 最大生命，并获得最大生命与最大能量换算的攻击和暴击。；攻击+最大生命×最大能量×0.00014；暴击+最大生命×最大能量×0.00014；生命+0 - 最大能量×0.02%</t>
        </is>
      </c>
    </row>
    <row r="200">
      <c r="A200" s="6" t="n">
        <v>198</v>
      </c>
      <c r="B200" s="11" t="inlineStr">
        <is>
          <t>沸血碎狱巨斧</t>
        </is>
      </c>
      <c r="C200" s="6" t="inlineStr">
        <is>
          <t>武器</t>
        </is>
      </c>
      <c r="D200" s="8" t="n">
        <v>5300</v>
      </c>
      <c r="E200" s="8" t="n">
        <v>8</v>
      </c>
      <c r="F200" s="8" t="n">
        <v>44</v>
      </c>
      <c r="G200" s="8" t="n">
        <v>8</v>
      </c>
      <c r="H200" s="8" t="n">
        <v>10</v>
      </c>
      <c r="I200" s="8" t="n">
        <v>18</v>
      </c>
      <c r="J200" s="8" t="n">
        <v>14</v>
      </c>
      <c r="K200" s="8" t="n">
        <v>8</v>
      </c>
      <c r="L200" s="12" t="n"/>
    </row>
    <row r="201">
      <c r="A201" s="6" t="n">
        <v>199</v>
      </c>
      <c r="B201" s="11" t="inlineStr">
        <is>
          <t>沸血践踏者</t>
        </is>
      </c>
      <c r="C201" s="6" t="inlineStr">
        <is>
          <t>鞋子</t>
        </is>
      </c>
      <c r="D201" s="8" t="n">
        <v>3800</v>
      </c>
      <c r="E201" s="8" t="n">
        <v>26</v>
      </c>
      <c r="F201" s="8" t="n">
        <v>6</v>
      </c>
      <c r="G201" s="8" t="n">
        <v>20</v>
      </c>
      <c r="H201" s="8" t="n">
        <v>10</v>
      </c>
      <c r="I201" s="8" t="n">
        <v>12</v>
      </c>
      <c r="J201" s="8" t="n">
        <v>3</v>
      </c>
      <c r="K201" s="8" t="n">
        <v>20</v>
      </c>
      <c r="L201" s="12" t="inlineStr">
        <is>
          <t>套装【赤沸怒啸战盔 + 沸血战铠 + 沸血践踏者】｜被动｜燃魂之血｜套装被动。携带后降低 maxEnergy * 0.02% 最大生命，并获得最大生命与最大能量换算的攻击和暴击。；攻击+最大生命×最大能量×0.00014；暴击+最大生命×最大能量×0.00014；生命+0 - 最大能量×0.02%</t>
        </is>
      </c>
    </row>
    <row r="202">
      <c r="A202" s="6" t="n">
        <v>200</v>
      </c>
      <c r="B202" s="11" t="inlineStr">
        <is>
          <t>狂怒血晶</t>
        </is>
      </c>
      <c r="C202" s="6" t="inlineStr">
        <is>
          <t>饰品</t>
        </is>
      </c>
      <c r="D202" s="8" t="n">
        <v>4500</v>
      </c>
      <c r="E202" s="8" t="n">
        <v>28</v>
      </c>
      <c r="F202" s="8" t="n">
        <v>16</v>
      </c>
      <c r="G202" s="8" t="n">
        <v>5</v>
      </c>
      <c r="H202" s="8" t="n">
        <v>30</v>
      </c>
      <c r="I202" s="8" t="n">
        <v>12</v>
      </c>
      <c r="J202" s="8" t="n">
        <v>4</v>
      </c>
      <c r="K202" s="8" t="n">
        <v>11</v>
      </c>
      <c r="L202" s="12" t="n"/>
    </row>
    <row r="203">
      <c r="A203" s="6" t="n">
        <v>201</v>
      </c>
      <c r="B203" s="11" t="inlineStr">
        <is>
          <t>荆棘花冠</t>
        </is>
      </c>
      <c r="C203" s="6" t="inlineStr">
        <is>
          <t>头盔</t>
        </is>
      </c>
      <c r="D203" s="8" t="n">
        <v>4100</v>
      </c>
      <c r="E203" s="8" t="n">
        <v>28</v>
      </c>
      <c r="F203" s="8" t="n">
        <v>8</v>
      </c>
      <c r="G203" s="8" t="n">
        <v>16</v>
      </c>
      <c r="H203" s="8" t="n">
        <v>28</v>
      </c>
      <c r="I203" s="8" t="n">
        <v>14</v>
      </c>
      <c r="J203" s="8" t="n">
        <v>7</v>
      </c>
      <c r="K203" s="8" t="n">
        <v>11</v>
      </c>
      <c r="L203" s="12" t="inlineStr">
        <is>
          <t>套装【荆棘花冠 + 绽放之刺 + 泣血花蕊之坠】｜主动｜盛怒绽放｜耗能最大能量×0.25｜CD40｜主动。消耗 25% 最大能量，冷却 40 回合，造成 125% 攻击 + 当前能量 * 3 普通伤害，恢复 25% 已损生命，并获得 0.01 * 最大能量% 防御提升，持续 10 回合。；造成攻击×1.25 + 当前能量×3伤害；回复(selfMaxHp - selfHp)×0.25生命；防御 +最大能量*0.01%</t>
        </is>
      </c>
    </row>
    <row r="204">
      <c r="A204" s="6" t="n">
        <v>202</v>
      </c>
      <c r="B204" s="11" t="inlineStr">
        <is>
          <t>血棘魔藤甲</t>
        </is>
      </c>
      <c r="C204" s="6" t="inlineStr">
        <is>
          <t>护甲</t>
        </is>
      </c>
      <c r="D204" s="8" t="n">
        <v>5000</v>
      </c>
      <c r="E204" s="8" t="n">
        <v>105</v>
      </c>
      <c r="F204" s="8" t="n">
        <v>10</v>
      </c>
      <c r="G204" s="8" t="n">
        <v>34</v>
      </c>
      <c r="H204" s="8" t="n">
        <v>20</v>
      </c>
      <c r="I204" s="8" t="n">
        <v>6</v>
      </c>
      <c r="J204" s="8" t="n">
        <v>5</v>
      </c>
      <c r="K204" s="8" t="n">
        <v>9</v>
      </c>
      <c r="L204" s="12" t="n"/>
    </row>
    <row r="205">
      <c r="A205" s="6" t="n">
        <v>203</v>
      </c>
      <c r="B205" s="11" t="inlineStr">
        <is>
          <t>绽放之刺</t>
        </is>
      </c>
      <c r="C205" s="6" t="inlineStr">
        <is>
          <t>武器</t>
        </is>
      </c>
      <c r="D205" s="8" t="n">
        <v>5300</v>
      </c>
      <c r="E205" s="8" t="n">
        <v>13</v>
      </c>
      <c r="F205" s="8" t="n">
        <v>43</v>
      </c>
      <c r="G205" s="8" t="n">
        <v>4</v>
      </c>
      <c r="H205" s="8" t="n">
        <v>25</v>
      </c>
      <c r="I205" s="8" t="n">
        <v>19</v>
      </c>
      <c r="J205" s="8" t="n">
        <v>13</v>
      </c>
      <c r="K205" s="8" t="n">
        <v>10</v>
      </c>
      <c r="L205" s="12" t="inlineStr">
        <is>
          <t>套装【荆棘花冠 + 绽放之刺 + 泣血花蕊之坠】｜主动｜盛怒绽放｜耗能最大能量×0.25｜CD40｜主动。消耗 25% 最大能量，冷却 40 回合，造成 125% 攻击 + 当前能量 * 3 普通伤害，恢复 25% 已损生命，并获得 0.01 * 最大能量% 防御提升，持续 10 回合。；造成攻击×1.25 + 当前能量×3伤害；回复(selfMaxHp - selfHp)×0.25生命；防御 +最大能量*0.01%</t>
        </is>
      </c>
    </row>
    <row r="206">
      <c r="A206" s="6" t="n">
        <v>204</v>
      </c>
      <c r="B206" s="11" t="inlineStr">
        <is>
          <t>花皇藤靴</t>
        </is>
      </c>
      <c r="C206" s="6" t="inlineStr">
        <is>
          <t>鞋子</t>
        </is>
      </c>
      <c r="D206" s="8" t="n">
        <v>3800</v>
      </c>
      <c r="E206" s="8" t="n">
        <v>28</v>
      </c>
      <c r="F206" s="8" t="n">
        <v>5</v>
      </c>
      <c r="G206" s="8" t="n">
        <v>22</v>
      </c>
      <c r="H206" s="8" t="n">
        <v>20</v>
      </c>
      <c r="I206" s="8" t="n">
        <v>10</v>
      </c>
      <c r="J206" s="8" t="n">
        <v>4</v>
      </c>
      <c r="K206" s="8" t="n">
        <v>18</v>
      </c>
      <c r="L206" s="12" t="n"/>
    </row>
    <row r="207">
      <c r="A207" s="6" t="n">
        <v>205</v>
      </c>
      <c r="B207" s="11" t="inlineStr">
        <is>
          <t>泣血花蕊之坠</t>
        </is>
      </c>
      <c r="C207" s="6" t="inlineStr">
        <is>
          <t>饰品</t>
        </is>
      </c>
      <c r="D207" s="8" t="n">
        <v>5000</v>
      </c>
      <c r="E207" s="8" t="n">
        <v>60</v>
      </c>
      <c r="F207" s="8" t="n">
        <v>15</v>
      </c>
      <c r="G207" s="8" t="n">
        <v>8</v>
      </c>
      <c r="H207" s="8" t="n">
        <v>20</v>
      </c>
      <c r="I207" s="8" t="n">
        <v>15</v>
      </c>
      <c r="J207" s="8" t="n">
        <v>5</v>
      </c>
      <c r="K207" s="8" t="n">
        <v>8</v>
      </c>
      <c r="L207" s="12" t="inlineStr">
        <is>
          <t>套装【荆棘花冠 + 绽放之刺 + 泣血花蕊之坠】｜主动｜盛怒绽放｜耗能最大能量×0.25｜CD40｜主动。消耗 25% 最大能量，冷却 40 回合，造成 125% 攻击 + 当前能量 * 3 普通伤害，恢复 25% 已损生命，并获得 0.01 * 最大能量% 防御提升，持续 10 回合。；造成攻击×1.25 + 当前能量×3伤害；回复(selfMaxHp - selfHp)×0.25生命；防御 +最大能量*0.01%</t>
        </is>
      </c>
    </row>
    <row r="208">
      <c r="A208" s="6" t="n">
        <v>206</v>
      </c>
      <c r="B208" s="11" t="inlineStr">
        <is>
          <t>蝠王啸夜盔</t>
        </is>
      </c>
      <c r="C208" s="6" t="inlineStr">
        <is>
          <t>头盔</t>
        </is>
      </c>
      <c r="D208" s="8" t="n">
        <v>4100</v>
      </c>
      <c r="E208" s="8" t="n">
        <v>22</v>
      </c>
      <c r="F208" s="8" t="n">
        <v>10</v>
      </c>
      <c r="G208" s="8" t="n">
        <v>13</v>
      </c>
      <c r="H208" s="8" t="n">
        <v>20</v>
      </c>
      <c r="I208" s="8" t="n">
        <v>14</v>
      </c>
      <c r="J208" s="8" t="n">
        <v>8</v>
      </c>
      <c r="K208" s="8" t="n">
        <v>16</v>
      </c>
      <c r="L208" s="12" t="n"/>
    </row>
    <row r="209">
      <c r="A209" s="6" t="n">
        <v>207</v>
      </c>
      <c r="B209" s="11" t="inlineStr">
        <is>
          <t>血蝠翼影甲</t>
        </is>
      </c>
      <c r="C209" s="6" t="inlineStr">
        <is>
          <t>护甲</t>
        </is>
      </c>
      <c r="D209" s="8" t="n">
        <v>5000</v>
      </c>
      <c r="E209" s="8" t="n">
        <v>95</v>
      </c>
      <c r="F209" s="8" t="n">
        <v>9</v>
      </c>
      <c r="G209" s="8" t="n">
        <v>32</v>
      </c>
      <c r="H209" s="8" t="n">
        <v>25</v>
      </c>
      <c r="I209" s="8" t="n">
        <v>7</v>
      </c>
      <c r="J209" s="8" t="n">
        <v>4</v>
      </c>
      <c r="K209" s="8" t="n">
        <v>15</v>
      </c>
      <c r="L209" s="12" t="n"/>
    </row>
    <row r="210">
      <c r="A210" s="6" t="n">
        <v>208</v>
      </c>
      <c r="B210" s="11" t="inlineStr">
        <is>
          <t>蝠啸裂空镰</t>
        </is>
      </c>
      <c r="C210" s="6" t="inlineStr">
        <is>
          <t>武器</t>
        </is>
      </c>
      <c r="D210" s="8" t="n">
        <v>5400</v>
      </c>
      <c r="E210" s="8" t="n">
        <v>0</v>
      </c>
      <c r="F210" s="8" t="n">
        <v>42</v>
      </c>
      <c r="G210" s="8" t="n">
        <v>3</v>
      </c>
      <c r="H210" s="8" t="n">
        <v>15</v>
      </c>
      <c r="I210" s="8" t="n">
        <v>21</v>
      </c>
      <c r="J210" s="8" t="n">
        <v>14</v>
      </c>
      <c r="K210" s="8" t="n">
        <v>19</v>
      </c>
      <c r="L210" s="12" t="inlineStr">
        <is>
          <t>套装【蝠啸裂空镰 + 夜蝠追猎履】｜主动｜追猎｜耗能40｜CD20｜主动。消耗 40 能量，冷却 20 回合，获得 0.2 * 敏捷附伤，持续 5 回合，并造成 0.25 攻击 + 0.1 最大能量 的 5 次连击。；攻击附伤 0.2 * 敏捷；造成攻击×0.25 + 最大能量×0.1伤害</t>
        </is>
      </c>
    </row>
    <row r="211">
      <c r="A211" s="6" t="n">
        <v>209</v>
      </c>
      <c r="B211" s="11" t="inlineStr">
        <is>
          <t>夜蝠追猎履</t>
        </is>
      </c>
      <c r="C211" s="6" t="inlineStr">
        <is>
          <t>鞋子</t>
        </is>
      </c>
      <c r="D211" s="8" t="n">
        <v>4100</v>
      </c>
      <c r="E211" s="8" t="n">
        <v>20</v>
      </c>
      <c r="F211" s="8" t="n">
        <v>7</v>
      </c>
      <c r="G211" s="8" t="n">
        <v>18</v>
      </c>
      <c r="H211" s="8" t="n">
        <v>15</v>
      </c>
      <c r="I211" s="8" t="n">
        <v>16</v>
      </c>
      <c r="J211" s="8" t="n">
        <v>5</v>
      </c>
      <c r="K211" s="8" t="n">
        <v>26</v>
      </c>
      <c r="L211" s="12" t="inlineStr">
        <is>
          <t>套装【蝠啸裂空镰 + 夜蝠追猎履】｜主动｜追猎｜耗能40｜CD20｜主动。消耗 40 能量，冷却 20 回合，获得 0.2 * 敏捷附伤，持续 5 回合，并造成 0.25 攻击 + 0.1 最大能量 的 5 次连击。；攻击附伤 0.2 * 敏捷；造成攻击×0.25 + 最大能量×0.1伤害</t>
        </is>
      </c>
    </row>
    <row r="212">
      <c r="A212" s="6" t="n">
        <v>210</v>
      </c>
      <c r="B212" s="11" t="inlineStr">
        <is>
          <t>饮血之契</t>
        </is>
      </c>
      <c r="C212" s="6" t="inlineStr">
        <is>
          <t>饰品</t>
        </is>
      </c>
      <c r="D212" s="8" t="n">
        <v>4650</v>
      </c>
      <c r="E212" s="8" t="n">
        <v>32</v>
      </c>
      <c r="F212" s="8" t="n">
        <v>12</v>
      </c>
      <c r="G212" s="8" t="n">
        <v>7</v>
      </c>
      <c r="H212" s="8" t="n">
        <v>35</v>
      </c>
      <c r="I212" s="8" t="n">
        <v>18</v>
      </c>
      <c r="J212" s="8" t="n">
        <v>6</v>
      </c>
      <c r="K212" s="8" t="n">
        <v>8</v>
      </c>
      <c r="L212" s="12" t="n"/>
    </row>
    <row r="213">
      <c r="A213" s="6" t="n">
        <v>211</v>
      </c>
      <c r="B213" s="11" t="inlineStr">
        <is>
          <t>无尽喉冠</t>
        </is>
      </c>
      <c r="C213" s="6" t="inlineStr">
        <is>
          <t>头盔</t>
        </is>
      </c>
      <c r="D213" s="8" t="n">
        <v>4150</v>
      </c>
      <c r="E213" s="8" t="n">
        <v>24</v>
      </c>
      <c r="F213" s="8" t="n">
        <v>10</v>
      </c>
      <c r="G213" s="8" t="n">
        <v>16</v>
      </c>
      <c r="H213" s="8" t="n">
        <v>22</v>
      </c>
      <c r="I213" s="8" t="n">
        <v>22</v>
      </c>
      <c r="J213" s="8" t="n">
        <v>6</v>
      </c>
      <c r="K213" s="8" t="n">
        <v>10</v>
      </c>
      <c r="L213" s="12" t="n"/>
    </row>
    <row r="214">
      <c r="A214" s="6" t="n">
        <v>212</v>
      </c>
      <c r="B214" s="11" t="inlineStr">
        <is>
          <t>无尽吞噬甲</t>
        </is>
      </c>
      <c r="C214" s="6" t="inlineStr">
        <is>
          <t>护甲</t>
        </is>
      </c>
      <c r="D214" s="8" t="n">
        <v>5150</v>
      </c>
      <c r="E214" s="8" t="n">
        <v>112</v>
      </c>
      <c r="F214" s="8" t="n">
        <v>7</v>
      </c>
      <c r="G214" s="8" t="n">
        <v>36</v>
      </c>
      <c r="H214" s="8" t="n">
        <v>22</v>
      </c>
      <c r="I214" s="8" t="n">
        <v>9</v>
      </c>
      <c r="J214" s="8" t="n">
        <v>4</v>
      </c>
      <c r="K214" s="8" t="n">
        <v>10</v>
      </c>
      <c r="L214" s="12" t="inlineStr">
        <is>
          <t>套装【无尽吞噬甲 + 永饥之环】｜主动｜吞噬｜耗能45｜CD30｜主动。消耗 45 能量，冷却 30 回合，造成 0.1 * (最大能量 + 最大生命) 真实伤害，不暴击，并使敌人眩晕 2 回合。；造成(最大能量 + 最大生命)×0.1伤害；眩晕</t>
        </is>
      </c>
    </row>
    <row r="215">
      <c r="A215" s="6" t="n">
        <v>213</v>
      </c>
      <c r="B215" s="11" t="inlineStr">
        <is>
          <t>噬骨魔铲</t>
        </is>
      </c>
      <c r="C215" s="6" t="inlineStr">
        <is>
          <t>武器</t>
        </is>
      </c>
      <c r="D215" s="8" t="n">
        <v>5700</v>
      </c>
      <c r="E215" s="8" t="n">
        <v>5</v>
      </c>
      <c r="F215" s="8" t="n">
        <v>45</v>
      </c>
      <c r="G215" s="8" t="n">
        <v>3</v>
      </c>
      <c r="H215" s="8" t="n">
        <v>10</v>
      </c>
      <c r="I215" s="8" t="n">
        <v>35</v>
      </c>
      <c r="J215" s="8" t="n">
        <v>16</v>
      </c>
      <c r="K215" s="8" t="n">
        <v>12</v>
      </c>
      <c r="L215" s="12" t="n"/>
    </row>
    <row r="216">
      <c r="A216" s="6" t="n">
        <v>214</v>
      </c>
      <c r="B216" s="11" t="inlineStr">
        <is>
          <t>暴食追猎者</t>
        </is>
      </c>
      <c r="C216" s="6" t="inlineStr">
        <is>
          <t>鞋子</t>
        </is>
      </c>
      <c r="D216" s="8" t="n">
        <v>3800</v>
      </c>
      <c r="E216" s="8" t="n">
        <v>24</v>
      </c>
      <c r="F216" s="8" t="n">
        <v>8</v>
      </c>
      <c r="G216" s="8" t="n">
        <v>18</v>
      </c>
      <c r="H216" s="8" t="n">
        <v>8</v>
      </c>
      <c r="I216" s="8" t="n">
        <v>20</v>
      </c>
      <c r="J216" s="8" t="n">
        <v>3</v>
      </c>
      <c r="K216" s="8" t="n">
        <v>19</v>
      </c>
      <c r="L216" s="12" t="n"/>
    </row>
    <row r="217">
      <c r="A217" s="6" t="n">
        <v>215</v>
      </c>
      <c r="B217" s="11" t="inlineStr">
        <is>
          <t>永饥之环</t>
        </is>
      </c>
      <c r="C217" s="6" t="inlineStr">
        <is>
          <t>饰品</t>
        </is>
      </c>
      <c r="D217" s="8" t="n">
        <v>4700</v>
      </c>
      <c r="E217" s="8" t="n">
        <v>30</v>
      </c>
      <c r="F217" s="8" t="n">
        <v>10</v>
      </c>
      <c r="G217" s="8" t="n">
        <v>10</v>
      </c>
      <c r="H217" s="8" t="n">
        <v>18</v>
      </c>
      <c r="I217" s="8" t="n">
        <v>28</v>
      </c>
      <c r="J217" s="8" t="n">
        <v>6</v>
      </c>
      <c r="K217" s="8" t="n">
        <v>7</v>
      </c>
      <c r="L217" s="12" t="inlineStr">
        <is>
          <t>套装【无尽吞噬甲 + 永饥之环】｜主动｜吞噬｜耗能45｜CD30｜主动。消耗 45 能量，冷却 30 回合，造成 0.1 * (最大能量 + 最大生命) 真实伤害，不暴击，并使敌人眩晕 2 回合。；造成(最大能量 + 最大生命)×0.1伤害；眩晕</t>
        </is>
      </c>
    </row>
    <row r="218">
      <c r="A218" s="6" t="n">
        <v>216</v>
      </c>
      <c r="B218" s="11" t="inlineStr">
        <is>
          <t>撼岳战盔</t>
        </is>
      </c>
      <c r="C218" s="6" t="inlineStr">
        <is>
          <t>头盔</t>
        </is>
      </c>
      <c r="D218" s="8" t="n">
        <v>4300</v>
      </c>
      <c r="E218" s="8" t="n">
        <v>35</v>
      </c>
      <c r="F218" s="8" t="n">
        <v>11</v>
      </c>
      <c r="G218" s="8" t="n">
        <v>24</v>
      </c>
      <c r="H218" s="8" t="n">
        <v>6</v>
      </c>
      <c r="I218" s="8" t="n">
        <v>15</v>
      </c>
      <c r="J218" s="8" t="n">
        <v>8</v>
      </c>
      <c r="K218" s="8" t="n">
        <v>4</v>
      </c>
      <c r="L218" s="12" t="inlineStr">
        <is>
          <t>套装【撼岳战盔 + 地裂蛮神铠 + 裂地撼山杵 + 崩裂行者 + 大地之心】｜主动｜山崩地裂｜耗能50｜CD35｜主动。消耗 50 能量，冷却 35 回合，降低敌方敏捷 50%，持续 10 回合，并造成最大生命 * 0.8 普通伤害。；敏捷 -50%；造成最大生命×0.8伤害；套装【撼岳战盔 + 地裂蛮神铠 + 裂地撼山杵 + 崩裂行者 + 大地之心】｜主动｜爆裂｜耗能10｜CD10｜主动。消耗 10 能量，冷却 10 回合，造成 攻击 * 1 + 暴击 * 0.1 + 破甲 * 0.1 + 防御 * 0.3 普通伤害。；造成攻击 + 暴击×0.1 + 破甲×0.1 + 防御×0.3伤害</t>
        </is>
      </c>
    </row>
    <row r="219">
      <c r="A219" s="6" t="n">
        <v>217</v>
      </c>
      <c r="B219" s="11" t="inlineStr">
        <is>
          <t>地裂蛮神铠</t>
        </is>
      </c>
      <c r="C219" s="6" t="inlineStr">
        <is>
          <t>护甲</t>
        </is>
      </c>
      <c r="D219" s="8" t="n">
        <v>5400</v>
      </c>
      <c r="E219" s="8" t="n">
        <v>130</v>
      </c>
      <c r="F219" s="8" t="n">
        <v>5</v>
      </c>
      <c r="G219" s="8" t="n">
        <v>45</v>
      </c>
      <c r="H219" s="8" t="n">
        <v>20</v>
      </c>
      <c r="I219" s="8" t="n">
        <v>10</v>
      </c>
      <c r="J219" s="8" t="n">
        <v>3</v>
      </c>
      <c r="K219" s="8" t="n">
        <v>5</v>
      </c>
      <c r="L219" s="12" t="inlineStr">
        <is>
          <t>套装【撼岳战盔 + 地裂蛮神铠 + 裂地撼山杵 + 崩裂行者 + 大地之心】｜主动｜山崩地裂｜耗能50｜CD35｜主动。消耗 50 能量，冷却 35 回合，降低敌方敏捷 50%，持续 10 回合，并造成最大生命 * 0.8 普通伤害。；敏捷 -50%；造成最大生命×0.8伤害；套装【撼岳战盔 + 地裂蛮神铠 + 裂地撼山杵 + 崩裂行者 + 大地之心】｜主动｜爆裂｜耗能10｜CD10｜主动。消耗 10 能量，冷却 10 回合，造成 攻击 * 1 + 暴击 * 0.1 + 破甲 * 0.1 + 防御 * 0.3 普通伤害。；造成攻击 + 暴击×0.1 + 破甲×0.1 + 防御×0.3伤害</t>
        </is>
      </c>
    </row>
    <row r="220">
      <c r="A220" s="6" t="n">
        <v>218</v>
      </c>
      <c r="B220" s="11" t="inlineStr">
        <is>
          <t>裂地撼山杵</t>
        </is>
      </c>
      <c r="C220" s="6" t="inlineStr">
        <is>
          <t>武器</t>
        </is>
      </c>
      <c r="D220" s="8" t="n">
        <v>5600</v>
      </c>
      <c r="E220" s="8" t="n">
        <v>20</v>
      </c>
      <c r="F220" s="8" t="n">
        <v>46</v>
      </c>
      <c r="G220" s="8" t="n">
        <v>8</v>
      </c>
      <c r="H220" s="8" t="n">
        <v>5</v>
      </c>
      <c r="I220" s="8" t="n">
        <v>22</v>
      </c>
      <c r="J220" s="8" t="n">
        <v>15</v>
      </c>
      <c r="K220" s="8" t="n">
        <v>6</v>
      </c>
      <c r="L220" s="12" t="inlineStr">
        <is>
          <t>套装【撼岳战盔 + 地裂蛮神铠 + 裂地撼山杵 + 崩裂行者 + 大地之心】｜主动｜山崩地裂｜耗能50｜CD35｜主动。消耗 50 能量，冷却 35 回合，降低敌方敏捷 50%，持续 10 回合，并造成最大生命 * 0.8 普通伤害。；敏捷 -50%；造成最大生命×0.8伤害；套装【撼岳战盔 + 地裂蛮神铠 + 裂地撼山杵 + 崩裂行者 + 大地之心】｜主动｜爆裂｜耗能10｜CD10｜主动。消耗 10 能量，冷却 10 回合，造成 攻击 * 1 + 暴击 * 0.1 + 破甲 * 0.1 + 防御 * 0.3 普通伤害。；造成攻击 + 暴击×0.1 + 破甲×0.1 + 防御×0.3伤害</t>
        </is>
      </c>
    </row>
    <row r="221">
      <c r="A221" s="6" t="n">
        <v>219</v>
      </c>
      <c r="B221" s="11" t="inlineStr">
        <is>
          <t>崩裂行者</t>
        </is>
      </c>
      <c r="C221" s="6" t="inlineStr">
        <is>
          <t>鞋子</t>
        </is>
      </c>
      <c r="D221" s="8" t="n">
        <v>3900</v>
      </c>
      <c r="E221" s="8" t="n">
        <v>32</v>
      </c>
      <c r="F221" s="8" t="n">
        <v>8</v>
      </c>
      <c r="G221" s="8" t="n">
        <v>25</v>
      </c>
      <c r="H221" s="8" t="n">
        <v>12</v>
      </c>
      <c r="I221" s="8" t="n">
        <v>12</v>
      </c>
      <c r="J221" s="8" t="n">
        <v>6</v>
      </c>
      <c r="K221" s="8" t="n">
        <v>10</v>
      </c>
      <c r="L221" s="12" t="inlineStr">
        <is>
          <t>套装【撼岳战盔 + 地裂蛮神铠 + 裂地撼山杵 + 崩裂行者 + 大地之心】｜主动｜山崩地裂｜耗能50｜CD35｜主动。消耗 50 能量，冷却 35 回合，降低敌方敏捷 50%，持续 10 回合，并造成最大生命 * 0.8 普通伤害。；敏捷 -50%；造成最大生命×0.8伤害；套装【撼岳战盔 + 地裂蛮神铠 + 裂地撼山杵 + 崩裂行者 + 大地之心】｜主动｜爆裂｜耗能10｜CD10｜主动。消耗 10 能量，冷却 10 回合，造成 攻击 * 1 + 暴击 * 0.1 + 破甲 * 0.1 + 防御 * 0.3 普通伤害。；造成攻击 + 暴击×0.1 + 破甲×0.1 + 防御×0.3伤害</t>
        </is>
      </c>
    </row>
    <row r="222">
      <c r="A222" s="6" t="n">
        <v>220</v>
      </c>
      <c r="B222" s="11" t="inlineStr">
        <is>
          <t>大地之心</t>
        </is>
      </c>
      <c r="C222" s="6" t="inlineStr">
        <is>
          <t>饰品</t>
        </is>
      </c>
      <c r="D222" s="8" t="n">
        <v>4900</v>
      </c>
      <c r="E222" s="8" t="n">
        <v>80</v>
      </c>
      <c r="F222" s="8" t="n">
        <v>0</v>
      </c>
      <c r="G222" s="8" t="n">
        <v>30</v>
      </c>
      <c r="H222" s="8" t="n">
        <v>0</v>
      </c>
      <c r="I222" s="8" t="n">
        <v>5</v>
      </c>
      <c r="J222" s="8" t="n">
        <v>5</v>
      </c>
      <c r="K222" s="8" t="n">
        <v>3</v>
      </c>
      <c r="L222" s="12" t="inlineStr">
        <is>
          <t>套装【撼岳战盔 + 地裂蛮神铠 + 裂地撼山杵 + 崩裂行者 + 大地之心】｜主动｜山崩地裂｜耗能50｜CD35｜主动。消耗 50 能量，冷却 35 回合，降低敌方敏捷 50%，持续 10 回合，并造成最大生命 * 0.8 普通伤害。；敏捷 -50%；造成最大生命×0.8伤害；套装【撼岳战盔 + 地裂蛮神铠 + 裂地撼山杵 + 崩裂行者 + 大地之心】｜主动｜爆裂｜耗能10｜CD10｜主动。消耗 10 能量，冷却 10 回合，造成 攻击 * 1 + 暴击 * 0.1 + 破甲 * 0.1 + 防御 * 0.3 普通伤害。；造成攻击 + 暴击×0.1 + 破甲×0.1 + 防御×0.3伤害</t>
        </is>
      </c>
    </row>
    <row r="223">
      <c r="A223" s="6" t="n">
        <v>221</v>
      </c>
      <c r="B223" s="16" t="inlineStr">
        <is>
          <t>隐秘-蛇皇之怒</t>
        </is>
      </c>
      <c r="C223" s="6" t="inlineStr">
        <is>
          <t>武器</t>
        </is>
      </c>
      <c r="D223" s="8" t="n">
        <v>7000</v>
      </c>
      <c r="E223" s="8" t="n">
        <v>0</v>
      </c>
      <c r="F223" s="8" t="n">
        <v>50</v>
      </c>
      <c r="G223" s="8" t="n">
        <v>0</v>
      </c>
      <c r="H223" s="8" t="n">
        <v>20</v>
      </c>
      <c r="I223" s="8" t="n">
        <v>28</v>
      </c>
      <c r="J223" s="8" t="n">
        <v>18</v>
      </c>
      <c r="K223" s="8" t="n">
        <v>18</v>
      </c>
      <c r="L223" s="12" t="inlineStr">
        <is>
          <t>装备技能：主动｜沸血之毒｜耗能100｜CD100｜主动。消耗 100 能量，冷却 100 回合，获得 0.03 * 攻击 的真实伤害附伤，持续单次战斗；使敌方获得最大能量 * 0.1 损伤，并使敌方最终伤害降低最大能量 * 0.01%，持续 100 回合。；攻击附加真实伤害；造成最大能量×0.1固定伤害；最终伤害降低</t>
        </is>
      </c>
    </row>
    <row r="224">
      <c r="A224" s="6" t="n">
        <v>222</v>
      </c>
      <c r="B224" s="16" t="inlineStr">
        <is>
          <t>隐秘-碧玉天青铠</t>
        </is>
      </c>
      <c r="C224" s="6" t="inlineStr">
        <is>
          <t>护甲</t>
        </is>
      </c>
      <c r="D224" s="8" t="n">
        <v>6400</v>
      </c>
      <c r="E224" s="8" t="n">
        <v>120</v>
      </c>
      <c r="F224" s="8" t="n">
        <v>8</v>
      </c>
      <c r="G224" s="8" t="n">
        <v>42</v>
      </c>
      <c r="H224" s="8" t="n">
        <v>30</v>
      </c>
      <c r="I224" s="8" t="n">
        <v>10</v>
      </c>
      <c r="J224" s="8" t="n">
        <v>4</v>
      </c>
      <c r="K224" s="8" t="n">
        <v>12</v>
      </c>
      <c r="L224" s="12" t="inlineStr">
        <is>
          <t>装备技能：被动｜祥云消难｜被动。入场获得最大能量 * 0.03% 最终受伤减免，持续 3 回合，并在第 1 回合开始恢复 10% 已损生命。；最终受伤降低；回复(selfMaxHp - selfHp)×0.1生命</t>
        </is>
      </c>
    </row>
    <row r="225">
      <c r="A225" s="6" t="n">
        <v>223</v>
      </c>
      <c r="B225" s="16" t="inlineStr">
        <is>
          <t>隐秘-长明圣玉</t>
        </is>
      </c>
      <c r="C225" s="6" t="inlineStr">
        <is>
          <t>饰品</t>
        </is>
      </c>
      <c r="D225" s="8" t="n">
        <v>6000</v>
      </c>
      <c r="E225" s="8" t="n">
        <v>35</v>
      </c>
      <c r="F225" s="8" t="n">
        <v>10</v>
      </c>
      <c r="G225" s="8" t="n">
        <v>20</v>
      </c>
      <c r="H225" s="8" t="n">
        <v>40</v>
      </c>
      <c r="I225" s="8" t="n">
        <v>15</v>
      </c>
      <c r="J225" s="8" t="n">
        <v>5</v>
      </c>
      <c r="K225" s="8" t="n">
        <v>10</v>
      </c>
      <c r="L225" s="12" t="inlineStr">
        <is>
          <t>装备技能：被动｜长明无忧｜被动。战斗入场获得每回合恢复最大生命 * (0.5% + 最大能量 * 0.001%)，持续单次战斗。；每回合生命恢复</t>
        </is>
      </c>
    </row>
    <row r="226">
      <c r="A226" s="6" t="n">
        <v>224</v>
      </c>
      <c r="B226" s="18" t="inlineStr">
        <is>
          <t>怒涛血狱锤斧</t>
        </is>
      </c>
      <c r="C226" s="6" t="inlineStr">
        <is>
          <t>武器</t>
        </is>
      </c>
      <c r="D226" s="8" t="n">
        <v>6000</v>
      </c>
      <c r="E226" s="8" t="n">
        <v>24</v>
      </c>
      <c r="F226" s="8" t="n">
        <v>46</v>
      </c>
      <c r="G226" s="8" t="n">
        <v>10</v>
      </c>
      <c r="H226" s="8" t="n">
        <v>20</v>
      </c>
      <c r="I226" s="8" t="n">
        <v>22</v>
      </c>
      <c r="J226" s="8" t="n">
        <v>17</v>
      </c>
      <c r="K226" s="8" t="n">
        <v>10</v>
      </c>
      <c r="L226" s="12" t="inlineStr">
        <is>
          <t>装备技能：主动｜蓄势｜耗能60｜CD10｜获得最终伤害增幅（100+0.01*能量）% 以及 最终受伤 -（0.05*能量）% ，持续1回合；伤害增幅 +(100+0.01*能量)%；伤害减免 +(0.05*能量)%</t>
        </is>
      </c>
    </row>
    <row r="227">
      <c r="A227" s="6" t="n">
        <v>225</v>
      </c>
      <c r="B227" s="20" t="inlineStr">
        <is>
          <t>覆天魔铲</t>
        </is>
      </c>
      <c r="C227" s="6" t="inlineStr">
        <is>
          <t>武器</t>
        </is>
      </c>
      <c r="D227" s="6" t="n">
        <v>6300</v>
      </c>
      <c r="E227" s="6" t="n">
        <v>6</v>
      </c>
      <c r="F227" s="6" t="n">
        <v>46</v>
      </c>
      <c r="G227" s="6" t="n">
        <v>3</v>
      </c>
      <c r="H227" s="6" t="n">
        <v>15</v>
      </c>
      <c r="I227" s="6" t="n">
        <v>40</v>
      </c>
      <c r="J227" s="6" t="n">
        <v>19</v>
      </c>
      <c r="K227" s="6" t="n">
        <v>15</v>
      </c>
      <c r="L227" s="12" t="inlineStr">
        <is>
          <t>装备技能：被动｜遮天蔽日｜被动：遮天蔽日：前三回合，敌方降低（能量*0.03）%敏捷，降低（能量*0.02）%最终伤害增幅，己方增加（能量*0.01）%的暴击值以及（能量*0.02）%的防御值。；敏捷 -能量*0.03%；最终伤害 -能量*0.02%；暴击 +能量*0.01；防御 +能量*0.02%</t>
        </is>
      </c>
    </row>
    <row r="228">
      <c r="A228" s="6" t="n">
        <v>226</v>
      </c>
      <c r="B228" s="20" t="inlineStr">
        <is>
          <t>帝藤棘刃帷幔</t>
        </is>
      </c>
      <c r="C228" s="6" t="inlineStr">
        <is>
          <t>护甲</t>
        </is>
      </c>
      <c r="D228" s="6" t="n">
        <v>5800</v>
      </c>
      <c r="E228" s="6" t="n">
        <v>108</v>
      </c>
      <c r="F228" s="6" t="n">
        <v>12</v>
      </c>
      <c r="G228" s="6" t="n">
        <v>35</v>
      </c>
      <c r="H228" s="6" t="n">
        <v>24</v>
      </c>
      <c r="I228" s="6" t="n">
        <v>7</v>
      </c>
      <c r="J228" s="6" t="n">
        <v>6</v>
      </c>
      <c r="K228" s="6" t="n">
        <v>12</v>
      </c>
      <c r="L228" s="12" t="inlineStr">
        <is>
          <t>装备技能：主动｜破穿棘刺｜耗能40｜CD8｜造成攻击+能量*0.4+穿透*0.2的普通技能伤害，并追加回合数*2的真实伤害；使敌方最终受伤提高10%，持续5回合。；造成攻击 + 最大能量×0.4 + 破甲×0.2伤害；造成turnCount×2伤害；最终受伤 +10%</t>
        </is>
      </c>
    </row>
    <row r="229">
      <c r="A229" s="6" t="n">
        <v>227</v>
      </c>
      <c r="B229" s="20" t="inlineStr">
        <is>
          <t>饕餮之冠</t>
        </is>
      </c>
      <c r="C229" s="6" t="inlineStr">
        <is>
          <t>头盔</t>
        </is>
      </c>
      <c r="D229" s="6" t="n">
        <v>4800</v>
      </c>
      <c r="E229" s="6" t="n">
        <v>24</v>
      </c>
      <c r="F229" s="6" t="n">
        <v>11</v>
      </c>
      <c r="G229" s="6" t="n">
        <v>17</v>
      </c>
      <c r="H229" s="6" t="n">
        <v>24</v>
      </c>
      <c r="I229" s="6" t="n">
        <v>28</v>
      </c>
      <c r="J229" s="6" t="n">
        <v>7</v>
      </c>
      <c r="K229" s="6" t="n">
        <v>11</v>
      </c>
      <c r="L229" s="12" t="inlineStr">
        <is>
          <t>装备技能：主动｜暴食｜耗能50｜CD30｜降低自身10%当前生命值，获得能量*0.03%的攻击和暴击加成，并每回合恢复能量*0.02生命值，持续10回合。；造成selfHp×0.1固定伤害；攻击提升；暴击提升；每回合恢复 能量*0.02</t>
        </is>
      </c>
    </row>
    <row r="230">
      <c r="A230" s="6" t="n">
        <v>228</v>
      </c>
      <c r="B230" s="20" t="inlineStr">
        <is>
          <t>赤岚追袭铁面</t>
        </is>
      </c>
      <c r="C230" s="6" t="inlineStr">
        <is>
          <t>头盔</t>
        </is>
      </c>
      <c r="D230" s="6" t="n">
        <v>4700</v>
      </c>
      <c r="E230" s="6" t="n">
        <v>22</v>
      </c>
      <c r="F230" s="6" t="n">
        <v>18</v>
      </c>
      <c r="G230" s="6" t="n">
        <v>15</v>
      </c>
      <c r="H230" s="6" t="n">
        <v>15</v>
      </c>
      <c r="I230" s="6" t="n">
        <v>14</v>
      </c>
      <c r="J230" s="6" t="n">
        <v>8</v>
      </c>
      <c r="K230" s="6" t="n">
        <v>14</v>
      </c>
      <c r="L230" s="12" t="inlineStr">
        <is>
          <t>装备技能：被动｜渴血追袭｜每回合恢复0.02*(攻击+敏捷-防御)生命值，并增加能量*0.05的攻击力。；每回合恢复；攻击提升</t>
        </is>
      </c>
    </row>
    <row r="231">
      <c r="A231" s="6" t="n">
        <v>229</v>
      </c>
      <c r="B231" s="20" t="inlineStr">
        <is>
          <t>自然之泪</t>
        </is>
      </c>
      <c r="C231" s="6" t="inlineStr">
        <is>
          <t>饰品</t>
        </is>
      </c>
      <c r="D231" s="6" t="n">
        <v>5400</v>
      </c>
      <c r="E231" s="6" t="n">
        <v>40</v>
      </c>
      <c r="F231" s="6" t="n">
        <v>9</v>
      </c>
      <c r="G231" s="6" t="n">
        <v>20</v>
      </c>
      <c r="H231" s="6" t="n">
        <v>50</v>
      </c>
      <c r="I231" s="6" t="n">
        <v>12</v>
      </c>
      <c r="J231" s="6" t="n">
        <v>4</v>
      </c>
      <c r="K231" s="6" t="n">
        <v>8</v>
      </c>
      <c r="L231" s="12" t="inlineStr">
        <is>
          <t>装备技能：被动｜自然之力｜提高5%的最大生命值和能量值。；生命+5%；能量+5%</t>
        </is>
      </c>
    </row>
    <row r="232">
      <c r="A232" s="6" t="n">
        <v>230</v>
      </c>
      <c r="B232" s="18" t="inlineStr">
        <is>
          <t>自然之迹</t>
        </is>
      </c>
      <c r="C232" s="8" t="inlineStr">
        <is>
          <t>鞋子</t>
        </is>
      </c>
      <c r="D232" s="8" t="n">
        <v>4300</v>
      </c>
      <c r="E232" s="8" t="n">
        <v>30</v>
      </c>
      <c r="F232" s="8" t="n">
        <v>5</v>
      </c>
      <c r="G232" s="8" t="n">
        <v>24</v>
      </c>
      <c r="H232" s="8" t="n">
        <v>25</v>
      </c>
      <c r="I232" s="8" t="n">
        <v>10</v>
      </c>
      <c r="J232" s="8" t="n">
        <v>4</v>
      </c>
      <c r="K232" s="8" t="n">
        <v>20</v>
      </c>
      <c r="L232" s="12" t="inlineStr">
        <is>
          <t>装备技能：主动｜轻盈之语｜耗能70｜CD10｜立刻恢复（1*能量）生命值，并提升(0.1*能量)的防御持续1回合；回复最大能量×1生命；防御 + 0.1 * 能量</t>
        </is>
      </c>
    </row>
    <row r="233">
      <c r="A233" s="6" t="n">
        <v>231</v>
      </c>
      <c r="B233" s="18" t="inlineStr">
        <is>
          <t>夜影封灵靴</t>
        </is>
      </c>
      <c r="C233" s="8" t="inlineStr">
        <is>
          <t>鞋子</t>
        </is>
      </c>
      <c r="D233" s="8" t="n">
        <v>4500</v>
      </c>
      <c r="E233" s="8" t="n">
        <v>20</v>
      </c>
      <c r="F233" s="8" t="n">
        <v>8</v>
      </c>
      <c r="G233" s="8" t="n">
        <v>18</v>
      </c>
      <c r="H233" s="8" t="n">
        <v>18</v>
      </c>
      <c r="I233" s="8" t="n">
        <v>14</v>
      </c>
      <c r="J233" s="8" t="n">
        <v>7</v>
      </c>
      <c r="K233" s="8" t="n">
        <v>26</v>
      </c>
      <c r="L233" s="12" t="inlineStr">
        <is>
          <t>装备技能：被动｜封灵诀｜降低10%能量上限，获得等量的敏捷提升。；敏捷+最大能量×0.1；能量-10%</t>
        </is>
      </c>
    </row>
    <row r="234">
      <c r="A234" s="6" t="n">
        <v>232</v>
      </c>
      <c r="B234" s="18" t="inlineStr">
        <is>
          <t>极御神甲</t>
        </is>
      </c>
      <c r="C234" s="8" t="inlineStr">
        <is>
          <t>护甲</t>
        </is>
      </c>
      <c r="D234" s="8" t="n">
        <v>6200</v>
      </c>
      <c r="E234" s="8" t="n">
        <v>140</v>
      </c>
      <c r="F234" s="8" t="n">
        <v>5</v>
      </c>
      <c r="G234" s="8" t="n">
        <v>48</v>
      </c>
      <c r="H234" s="8" t="n">
        <v>20</v>
      </c>
      <c r="I234" s="8" t="n">
        <v>10</v>
      </c>
      <c r="J234" s="8" t="n">
        <v>3</v>
      </c>
      <c r="K234" s="8" t="n">
        <v>5</v>
      </c>
      <c r="L234" s="12" t="inlineStr">
        <is>
          <t>装备技能：主动｜地脉冲爆｜耗能80｜CD10｜造成（1*攻击+1*防御）的技能伤害，并且降低敌方（能量*0.2）敏捷，持续2回合；造成攻击 + 防御伤害；maxEnergy * 0.2；装备技能：被动｜绝对防御｜提高5%的最终伤害免疫。；最终受伤-5%</t>
        </is>
      </c>
    </row>
    <row r="235">
      <c r="A235" s="6" t="n">
        <v>233</v>
      </c>
      <c r="B235" s="11" t="inlineStr">
        <is>
          <t>杀戮之剑</t>
        </is>
      </c>
      <c r="C235" s="8" t="inlineStr">
        <is>
          <t>武器</t>
        </is>
      </c>
      <c r="D235" s="8" t="n">
        <v>5750</v>
      </c>
      <c r="E235" s="8" t="n">
        <v>0</v>
      </c>
      <c r="F235" s="8" t="n">
        <v>46</v>
      </c>
      <c r="G235" s="8" t="n">
        <v>3</v>
      </c>
      <c r="H235" s="8" t="n">
        <v>20</v>
      </c>
      <c r="I235" s="8" t="n">
        <v>24</v>
      </c>
      <c r="J235" s="8" t="n">
        <v>18</v>
      </c>
      <c r="K235" s="8" t="n">
        <v>16</v>
      </c>
      <c r="L235" s="12" t="n"/>
    </row>
    <row r="236">
      <c r="A236" s="6" t="n">
        <v>234</v>
      </c>
      <c r="B236" s="11" t="inlineStr">
        <is>
          <t>屠戮者头盔</t>
        </is>
      </c>
      <c r="C236" s="8" t="inlineStr">
        <is>
          <t>头盔</t>
        </is>
      </c>
      <c r="D236" s="8" t="n">
        <v>4500</v>
      </c>
      <c r="E236" s="8" t="n">
        <v>26</v>
      </c>
      <c r="F236" s="8" t="n">
        <v>18</v>
      </c>
      <c r="G236" s="8" t="n">
        <v>15</v>
      </c>
      <c r="H236" s="8" t="n">
        <v>20</v>
      </c>
      <c r="I236" s="8" t="n">
        <v>16</v>
      </c>
      <c r="J236" s="8" t="n">
        <v>8</v>
      </c>
      <c r="K236" s="8" t="n">
        <v>10</v>
      </c>
      <c r="L236" s="12" t="n"/>
    </row>
    <row r="237">
      <c r="A237" s="6" t="n">
        <v>235</v>
      </c>
      <c r="B237" s="11" t="inlineStr">
        <is>
          <t>不屈战甲</t>
        </is>
      </c>
      <c r="C237" s="8" t="inlineStr">
        <is>
          <t>护甲</t>
        </is>
      </c>
      <c r="D237" s="8" t="n">
        <v>5500</v>
      </c>
      <c r="E237" s="8" t="n">
        <v>120</v>
      </c>
      <c r="F237" s="8" t="n">
        <v>10</v>
      </c>
      <c r="G237" s="8" t="n">
        <v>40</v>
      </c>
      <c r="H237" s="8" t="n">
        <v>10</v>
      </c>
      <c r="I237" s="8" t="n">
        <v>11</v>
      </c>
      <c r="J237" s="8" t="n">
        <v>6</v>
      </c>
      <c r="K237" s="8" t="n">
        <v>8</v>
      </c>
      <c r="L237" s="12" t="n"/>
    </row>
    <row r="238">
      <c r="A238" s="6" t="n">
        <v>236</v>
      </c>
      <c r="B238" s="11" t="inlineStr">
        <is>
          <t>破灭者之靴</t>
        </is>
      </c>
      <c r="C238" s="8" t="inlineStr">
        <is>
          <t>鞋子</t>
        </is>
      </c>
      <c r="D238" s="8" t="n">
        <v>4200</v>
      </c>
      <c r="E238" s="8" t="n">
        <v>25</v>
      </c>
      <c r="F238" s="8" t="n">
        <v>10</v>
      </c>
      <c r="G238" s="8" t="n">
        <v>18</v>
      </c>
      <c r="H238" s="8" t="n">
        <v>12</v>
      </c>
      <c r="I238" s="8" t="n">
        <v>16</v>
      </c>
      <c r="J238" s="8" t="n">
        <v>7</v>
      </c>
      <c r="K238" s="8" t="n">
        <v>22</v>
      </c>
      <c r="L238" s="12" t="n"/>
    </row>
    <row r="239">
      <c r="A239" s="6" t="n">
        <v>237</v>
      </c>
      <c r="B239" s="11" t="inlineStr">
        <is>
          <t>血气宝石</t>
        </is>
      </c>
      <c r="C239" s="8" t="inlineStr">
        <is>
          <t>饰品</t>
        </is>
      </c>
      <c r="D239" s="8" t="n">
        <v>5000</v>
      </c>
      <c r="E239" s="8" t="n">
        <v>50</v>
      </c>
      <c r="F239" s="8" t="n">
        <v>12</v>
      </c>
      <c r="G239" s="8" t="n">
        <v>12</v>
      </c>
      <c r="H239" s="8" t="n">
        <v>12</v>
      </c>
      <c r="I239" s="8" t="n">
        <v>12</v>
      </c>
      <c r="J239" s="8" t="n">
        <v>6</v>
      </c>
      <c r="K239" s="8" t="n">
        <v>12</v>
      </c>
      <c r="L239" s="12" t="n"/>
    </row>
    <row r="240">
      <c r="A240" s="6" t="n">
        <v>238</v>
      </c>
      <c r="B240" s="11" t="inlineStr">
        <is>
          <t>血魔之拳</t>
        </is>
      </c>
      <c r="C240" s="8" t="inlineStr">
        <is>
          <t>武器</t>
        </is>
      </c>
      <c r="D240" s="8" t="n">
        <v>5900</v>
      </c>
      <c r="E240" s="8" t="n">
        <v>15</v>
      </c>
      <c r="F240" s="8" t="n">
        <v>45</v>
      </c>
      <c r="G240" s="8" t="n">
        <v>6</v>
      </c>
      <c r="H240" s="8" t="n">
        <v>6</v>
      </c>
      <c r="I240" s="8" t="n">
        <v>26</v>
      </c>
      <c r="J240" s="8" t="n">
        <v>16</v>
      </c>
      <c r="K240" s="8" t="n">
        <v>18</v>
      </c>
      <c r="L240" s="12" t="n"/>
    </row>
    <row r="241">
      <c r="A241" s="6" t="n">
        <v>239</v>
      </c>
      <c r="B241" s="11" t="inlineStr">
        <is>
          <t>蠕动之颅</t>
        </is>
      </c>
      <c r="C241" s="8" t="inlineStr">
        <is>
          <t>头盔</t>
        </is>
      </c>
      <c r="D241" s="8" t="n">
        <v>4550</v>
      </c>
      <c r="E241" s="8" t="n">
        <v>35</v>
      </c>
      <c r="F241" s="8" t="n">
        <v>12</v>
      </c>
      <c r="G241" s="8" t="n">
        <v>22</v>
      </c>
      <c r="H241" s="8" t="n">
        <v>10</v>
      </c>
      <c r="I241" s="8" t="n">
        <v>18</v>
      </c>
      <c r="J241" s="8" t="n">
        <v>7</v>
      </c>
      <c r="K241" s="8" t="n">
        <v>11</v>
      </c>
      <c r="L241" s="12" t="n"/>
    </row>
    <row r="242">
      <c r="A242" s="6" t="n">
        <v>240</v>
      </c>
      <c r="B242" s="11" t="inlineStr">
        <is>
          <t>血沼链甲</t>
        </is>
      </c>
      <c r="C242" s="8" t="inlineStr">
        <is>
          <t>护甲</t>
        </is>
      </c>
      <c r="D242" s="8" t="n">
        <v>5550</v>
      </c>
      <c r="E242" s="8" t="n">
        <v>150</v>
      </c>
      <c r="F242" s="8" t="n">
        <v>4</v>
      </c>
      <c r="G242" s="8" t="n">
        <v>46</v>
      </c>
      <c r="H242" s="8" t="n">
        <v>10</v>
      </c>
      <c r="I242" s="8" t="n">
        <v>10</v>
      </c>
      <c r="J242" s="8" t="n">
        <v>5</v>
      </c>
      <c r="K242" s="8" t="n">
        <v>3</v>
      </c>
      <c r="L242" s="12" t="n"/>
    </row>
    <row r="243">
      <c r="A243" s="6" t="n">
        <v>241</v>
      </c>
      <c r="B243" s="11" t="inlineStr">
        <is>
          <t>血沼之踏</t>
        </is>
      </c>
      <c r="C243" s="8" t="inlineStr">
        <is>
          <t>鞋子</t>
        </is>
      </c>
      <c r="D243" s="8" t="n">
        <v>4300</v>
      </c>
      <c r="E243" s="8" t="n">
        <v>30</v>
      </c>
      <c r="F243" s="8" t="n">
        <v>6</v>
      </c>
      <c r="G243" s="8" t="n">
        <v>24</v>
      </c>
      <c r="H243" s="8" t="n">
        <v>15</v>
      </c>
      <c r="I243" s="8" t="n">
        <v>19</v>
      </c>
      <c r="J243" s="8" t="n">
        <v>5</v>
      </c>
      <c r="K243" s="8" t="n">
        <v>20</v>
      </c>
      <c r="L243" s="12" t="n"/>
    </row>
    <row r="244">
      <c r="A244" s="6" t="n">
        <v>242</v>
      </c>
      <c r="B244" s="11" t="inlineStr">
        <is>
          <t>第二心脏</t>
        </is>
      </c>
      <c r="C244" s="8" t="inlineStr">
        <is>
          <t>饰品</t>
        </is>
      </c>
      <c r="D244" s="8" t="n">
        <v>5300</v>
      </c>
      <c r="E244" s="8" t="n">
        <v>120</v>
      </c>
      <c r="F244" s="8" t="n">
        <v>0</v>
      </c>
      <c r="G244" s="8" t="n">
        <v>30</v>
      </c>
      <c r="H244" s="8" t="n">
        <v>30</v>
      </c>
      <c r="I244" s="8" t="n">
        <v>0</v>
      </c>
      <c r="J244" s="8" t="n">
        <v>0</v>
      </c>
      <c r="K244" s="8" t="n">
        <v>0</v>
      </c>
      <c r="L244" s="12" t="n"/>
    </row>
    <row r="245">
      <c r="A245" s="6" t="n">
        <v>243</v>
      </c>
      <c r="B245" s="11" t="inlineStr">
        <is>
          <t>万刃斩</t>
        </is>
      </c>
      <c r="C245" s="8" t="inlineStr">
        <is>
          <t>武器</t>
        </is>
      </c>
      <c r="D245" s="8" t="n">
        <v>5800</v>
      </c>
      <c r="E245" s="8" t="n">
        <v>0</v>
      </c>
      <c r="F245" s="8" t="n">
        <v>48</v>
      </c>
      <c r="G245" s="8" t="n">
        <v>0</v>
      </c>
      <c r="H245" s="8" t="n">
        <v>12</v>
      </c>
      <c r="I245" s="8" t="n">
        <v>30</v>
      </c>
      <c r="J245" s="8" t="n">
        <v>20</v>
      </c>
      <c r="K245" s="8" t="n">
        <v>16</v>
      </c>
      <c r="L245" s="12" t="n"/>
    </row>
    <row r="246">
      <c r="A246" s="6" t="n">
        <v>244</v>
      </c>
      <c r="B246" s="11" t="inlineStr">
        <is>
          <t>无情铁面</t>
        </is>
      </c>
      <c r="C246" s="8" t="inlineStr">
        <is>
          <t>头盔</t>
        </is>
      </c>
      <c r="D246" s="8" t="n">
        <v>4700</v>
      </c>
      <c r="E246" s="8" t="n">
        <v>14</v>
      </c>
      <c r="F246" s="8" t="n">
        <v>22</v>
      </c>
      <c r="G246" s="8" t="n">
        <v>12</v>
      </c>
      <c r="H246" s="8" t="n">
        <v>8</v>
      </c>
      <c r="I246" s="8" t="n">
        <v>22</v>
      </c>
      <c r="J246" s="8" t="n">
        <v>11</v>
      </c>
      <c r="K246" s="8" t="n">
        <v>12</v>
      </c>
      <c r="L246" s="12" t="n"/>
    </row>
    <row r="247">
      <c r="A247" s="6" t="n">
        <v>245</v>
      </c>
      <c r="B247" s="11" t="inlineStr">
        <is>
          <t>葬兵君主铠</t>
        </is>
      </c>
      <c r="C247" s="8" t="inlineStr">
        <is>
          <t>护甲</t>
        </is>
      </c>
      <c r="D247" s="8" t="n">
        <v>5550</v>
      </c>
      <c r="E247" s="8" t="n">
        <v>105</v>
      </c>
      <c r="F247" s="8" t="n">
        <v>9</v>
      </c>
      <c r="G247" s="8" t="n">
        <v>40</v>
      </c>
      <c r="H247" s="8" t="n">
        <v>19</v>
      </c>
      <c r="I247" s="8" t="n">
        <v>10</v>
      </c>
      <c r="J247" s="8" t="n">
        <v>6</v>
      </c>
      <c r="K247" s="8" t="n">
        <v>13</v>
      </c>
      <c r="L247" s="12" t="n"/>
    </row>
    <row r="248">
      <c r="A248" s="6" t="n">
        <v>246</v>
      </c>
      <c r="B248" s="11" t="inlineStr">
        <is>
          <t>兵冢残影靴</t>
        </is>
      </c>
      <c r="C248" s="8" t="inlineStr">
        <is>
          <t>鞋子</t>
        </is>
      </c>
      <c r="D248" s="8" t="n">
        <v>4300</v>
      </c>
      <c r="E248" s="8" t="n">
        <v>20</v>
      </c>
      <c r="F248" s="8" t="n">
        <v>13</v>
      </c>
      <c r="G248" s="8" t="n">
        <v>15</v>
      </c>
      <c r="H248" s="8" t="n">
        <v>5</v>
      </c>
      <c r="I248" s="8" t="n">
        <v>12</v>
      </c>
      <c r="J248" s="8" t="n">
        <v>7</v>
      </c>
      <c r="K248" s="8" t="n">
        <v>28</v>
      </c>
      <c r="L248" s="12" t="n"/>
    </row>
    <row r="249">
      <c r="A249" s="6" t="n">
        <v>247</v>
      </c>
      <c r="B249" s="11" t="inlineStr">
        <is>
          <t>剑冢令戒</t>
        </is>
      </c>
      <c r="C249" s="8" t="inlineStr">
        <is>
          <t>饰品</t>
        </is>
      </c>
      <c r="D249" s="8" t="n">
        <v>5100</v>
      </c>
      <c r="E249" s="8" t="n">
        <v>30</v>
      </c>
      <c r="F249" s="8" t="n">
        <v>15</v>
      </c>
      <c r="G249" s="8" t="n">
        <v>5</v>
      </c>
      <c r="H249" s="8" t="n">
        <v>15</v>
      </c>
      <c r="I249" s="8" t="n">
        <v>12</v>
      </c>
      <c r="J249" s="8" t="n">
        <v>12</v>
      </c>
      <c r="K249" s="8" t="n">
        <v>12</v>
      </c>
      <c r="L249" s="12" t="n"/>
    </row>
    <row r="250">
      <c r="A250" s="6" t="n">
        <v>248</v>
      </c>
      <c r="B250" s="11" t="inlineStr">
        <is>
          <t>领主诏令旗枪</t>
        </is>
      </c>
      <c r="C250" s="8" t="inlineStr">
        <is>
          <t>武器</t>
        </is>
      </c>
      <c r="D250" s="8" t="n">
        <v>5700</v>
      </c>
      <c r="E250" s="8" t="n">
        <v>5</v>
      </c>
      <c r="F250" s="8" t="n">
        <v>45</v>
      </c>
      <c r="G250" s="8" t="n">
        <v>5</v>
      </c>
      <c r="H250" s="8" t="n">
        <v>16</v>
      </c>
      <c r="I250" s="8" t="n">
        <v>25</v>
      </c>
      <c r="J250" s="8" t="n">
        <v>17</v>
      </c>
      <c r="K250" s="8" t="n">
        <v>15</v>
      </c>
      <c r="L250" s="12" t="n"/>
    </row>
    <row r="251">
      <c r="A251" s="6" t="n">
        <v>249</v>
      </c>
      <c r="B251" s="11" t="inlineStr">
        <is>
          <t>魂火冠颅</t>
        </is>
      </c>
      <c r="C251" s="8" t="inlineStr">
        <is>
          <t>头盔</t>
        </is>
      </c>
      <c r="D251" s="8" t="n">
        <v>4450</v>
      </c>
      <c r="E251" s="8" t="n">
        <v>15</v>
      </c>
      <c r="F251" s="8" t="n">
        <v>18</v>
      </c>
      <c r="G251" s="8" t="n">
        <v>18</v>
      </c>
      <c r="H251" s="8" t="n">
        <v>18</v>
      </c>
      <c r="I251" s="8" t="n">
        <v>18</v>
      </c>
      <c r="J251" s="8" t="n">
        <v>8</v>
      </c>
      <c r="K251" s="8" t="n">
        <v>8</v>
      </c>
      <c r="L251" s="12" t="n"/>
    </row>
    <row r="252">
      <c r="A252" s="6" t="n">
        <v>250</v>
      </c>
      <c r="B252" s="11" t="inlineStr">
        <is>
          <t>死神战袍</t>
        </is>
      </c>
      <c r="C252" s="8" t="inlineStr">
        <is>
          <t>护甲</t>
        </is>
      </c>
      <c r="D252" s="8" t="n">
        <v>5450</v>
      </c>
      <c r="E252" s="8" t="n">
        <v>90</v>
      </c>
      <c r="F252" s="8" t="n">
        <v>12</v>
      </c>
      <c r="G252" s="8" t="n">
        <v>35</v>
      </c>
      <c r="H252" s="8" t="n">
        <v>15</v>
      </c>
      <c r="I252" s="8" t="n">
        <v>12</v>
      </c>
      <c r="J252" s="8" t="n">
        <v>8</v>
      </c>
      <c r="K252" s="8" t="n">
        <v>15</v>
      </c>
      <c r="L252" s="12" t="n"/>
    </row>
    <row r="253">
      <c r="A253" s="6" t="n">
        <v>251</v>
      </c>
      <c r="B253" s="11" t="inlineStr">
        <is>
          <t>渡魂胫甲</t>
        </is>
      </c>
      <c r="C253" s="8" t="inlineStr">
        <is>
          <t>鞋子</t>
        </is>
      </c>
      <c r="D253" s="8" t="n">
        <v>4250</v>
      </c>
      <c r="E253" s="8" t="n">
        <v>20</v>
      </c>
      <c r="F253" s="8" t="n">
        <v>10</v>
      </c>
      <c r="G253" s="8" t="n">
        <v>14</v>
      </c>
      <c r="H253" s="8" t="n">
        <v>8</v>
      </c>
      <c r="I253" s="8" t="n">
        <v>18</v>
      </c>
      <c r="J253" s="8" t="n">
        <v>8</v>
      </c>
      <c r="K253" s="8" t="n">
        <v>25</v>
      </c>
      <c r="L253" s="12" t="n"/>
    </row>
    <row r="254">
      <c r="A254" s="6" t="n">
        <v>252</v>
      </c>
      <c r="B254" s="11" t="inlineStr">
        <is>
          <t>领主命匣</t>
        </is>
      </c>
      <c r="C254" s="8" t="inlineStr">
        <is>
          <t>饰品</t>
        </is>
      </c>
      <c r="D254" s="8" t="n">
        <v>5500</v>
      </c>
      <c r="E254" s="8" t="n">
        <v>40</v>
      </c>
      <c r="F254" s="8" t="n">
        <v>20</v>
      </c>
      <c r="G254" s="8" t="n">
        <v>0</v>
      </c>
      <c r="H254" s="8" t="n">
        <v>20</v>
      </c>
      <c r="I254" s="8" t="n">
        <v>20</v>
      </c>
      <c r="J254" s="8" t="n">
        <v>8</v>
      </c>
      <c r="K254" s="8" t="n">
        <v>10</v>
      </c>
      <c r="L254" s="12" t="n"/>
    </row>
    <row r="255">
      <c r="A255" s="6" t="n">
        <v>253</v>
      </c>
      <c r="B255" s="11" t="inlineStr">
        <is>
          <t>神眼冥界法杖</t>
        </is>
      </c>
      <c r="C255" s="8" t="inlineStr">
        <is>
          <t>武器</t>
        </is>
      </c>
      <c r="D255" s="8" t="n">
        <v>6000</v>
      </c>
      <c r="E255" s="8" t="n">
        <v>15</v>
      </c>
      <c r="F255" s="8" t="n">
        <v>44</v>
      </c>
      <c r="G255" s="8" t="n">
        <v>5</v>
      </c>
      <c r="H255" s="8" t="n">
        <v>35</v>
      </c>
      <c r="I255" s="8" t="n">
        <v>18</v>
      </c>
      <c r="J255" s="8" t="n">
        <v>20</v>
      </c>
      <c r="K255" s="8" t="n">
        <v>14</v>
      </c>
      <c r="L255" s="12" t="n"/>
    </row>
    <row r="256">
      <c r="A256" s="6" t="n">
        <v>254</v>
      </c>
      <c r="B256" s="11" t="inlineStr">
        <is>
          <t>第三视界之眼</t>
        </is>
      </c>
      <c r="C256" s="8" t="inlineStr">
        <is>
          <t>头盔</t>
        </is>
      </c>
      <c r="D256" s="8" t="n">
        <v>4750</v>
      </c>
      <c r="E256" s="8" t="n">
        <v>28</v>
      </c>
      <c r="F256" s="8" t="n">
        <v>14</v>
      </c>
      <c r="G256" s="8" t="n">
        <v>20</v>
      </c>
      <c r="H256" s="8" t="n">
        <v>35</v>
      </c>
      <c r="I256" s="8" t="n">
        <v>16</v>
      </c>
      <c r="J256" s="8" t="n">
        <v>10</v>
      </c>
      <c r="K256" s="8" t="n">
        <v>8</v>
      </c>
      <c r="L256" s="12" t="n"/>
    </row>
    <row r="257">
      <c r="A257" s="6" t="n">
        <v>255</v>
      </c>
      <c r="B257" s="11" t="inlineStr">
        <is>
          <t>注视者纱袍</t>
        </is>
      </c>
      <c r="C257" s="8" t="inlineStr">
        <is>
          <t>护甲</t>
        </is>
      </c>
      <c r="D257" s="8" t="n">
        <v>5600</v>
      </c>
      <c r="E257" s="8" t="n">
        <v>108</v>
      </c>
      <c r="F257" s="8" t="n">
        <v>10</v>
      </c>
      <c r="G257" s="8" t="n">
        <v>38</v>
      </c>
      <c r="H257" s="8" t="n">
        <v>25</v>
      </c>
      <c r="I257" s="8" t="n">
        <v>14</v>
      </c>
      <c r="J257" s="8" t="n">
        <v>6</v>
      </c>
      <c r="K257" s="8" t="n">
        <v>9</v>
      </c>
      <c r="L257" s="12" t="n"/>
    </row>
    <row r="258">
      <c r="A258" s="6" t="n">
        <v>256</v>
      </c>
      <c r="B258" s="11" t="inlineStr">
        <is>
          <t>虚空踱步履</t>
        </is>
      </c>
      <c r="C258" s="8" t="inlineStr">
        <is>
          <t>鞋子</t>
        </is>
      </c>
      <c r="D258" s="8" t="n">
        <v>4400</v>
      </c>
      <c r="E258" s="8" t="n">
        <v>25</v>
      </c>
      <c r="F258" s="8" t="n">
        <v>8</v>
      </c>
      <c r="G258" s="8" t="n">
        <v>16</v>
      </c>
      <c r="H258" s="8" t="n">
        <v>22</v>
      </c>
      <c r="I258" s="8" t="n">
        <v>17</v>
      </c>
      <c r="J258" s="8" t="n">
        <v>7</v>
      </c>
      <c r="K258" s="8" t="n">
        <v>26</v>
      </c>
      <c r="L258" s="12" t="n"/>
    </row>
    <row r="259">
      <c r="A259" s="6" t="n">
        <v>257</v>
      </c>
      <c r="B259" s="11" t="inlineStr">
        <is>
          <t>神泪结晶</t>
        </is>
      </c>
      <c r="C259" s="8" t="inlineStr">
        <is>
          <t>饰品</t>
        </is>
      </c>
      <c r="D259" s="8" t="n">
        <v>5400</v>
      </c>
      <c r="E259" s="8" t="n">
        <v>35</v>
      </c>
      <c r="F259" s="8" t="n">
        <v>12</v>
      </c>
      <c r="G259" s="8" t="n">
        <v>8</v>
      </c>
      <c r="H259" s="8" t="n">
        <v>60</v>
      </c>
      <c r="I259" s="8" t="n">
        <v>12</v>
      </c>
      <c r="J259" s="8" t="n">
        <v>7</v>
      </c>
      <c r="K259" s="8" t="n">
        <v>12</v>
      </c>
      <c r="L259" s="12" t="n"/>
    </row>
    <row r="260">
      <c r="A260" s="6" t="n">
        <v>258</v>
      </c>
      <c r="B260" s="16" t="inlineStr">
        <is>
          <t>隐秘-破损的八极蛇王枪</t>
        </is>
      </c>
      <c r="C260" s="8" t="inlineStr">
        <is>
          <t>武器</t>
        </is>
      </c>
      <c r="D260" s="8" t="n">
        <v>7500</v>
      </c>
      <c r="E260" s="8" t="n">
        <v>10</v>
      </c>
      <c r="F260" s="8" t="n">
        <v>52</v>
      </c>
      <c r="G260" s="8" t="n">
        <v>3</v>
      </c>
      <c r="H260" s="8" t="n">
        <v>20</v>
      </c>
      <c r="I260" s="8" t="n">
        <v>26</v>
      </c>
      <c r="J260" s="8" t="n">
        <v>22</v>
      </c>
      <c r="K260" s="8" t="n">
        <v>18</v>
      </c>
      <c r="L260" s="12" t="n"/>
    </row>
    <row r="261">
      <c r="A261" s="8" t="n">
        <v>259</v>
      </c>
      <c r="B261" s="18" t="inlineStr">
        <is>
          <t>无尽冥域</t>
        </is>
      </c>
      <c r="C261" s="8" t="inlineStr">
        <is>
          <t>武器</t>
        </is>
      </c>
      <c r="D261" s="8" t="n">
        <v>6500</v>
      </c>
      <c r="E261" s="8" t="n">
        <v>15</v>
      </c>
      <c r="F261" s="8" t="n">
        <v>46</v>
      </c>
      <c r="G261" s="8" t="n">
        <v>5</v>
      </c>
      <c r="H261" s="8" t="n">
        <v>40</v>
      </c>
      <c r="I261" s="8" t="n">
        <v>22</v>
      </c>
      <c r="J261" s="8" t="n">
        <v>21</v>
      </c>
      <c r="K261" s="8" t="n">
        <v>15</v>
      </c>
      <c r="L261" s="12" t="inlineStr">
        <is>
          <t>装备技能：主动｜冥域｜耗能80｜CD50｜降低敌方攻击、防御、敏捷各（最大能量 * 0.1）点，持续30回合。；攻击降低 最大能量*0.1；防御降低 最大能量*0.1；敏捷降低 最大能量*0.1</t>
        </is>
      </c>
    </row>
    <row r="262">
      <c r="A262" s="8" t="n">
        <v>260</v>
      </c>
      <c r="B262" s="18" t="inlineStr">
        <is>
          <t>王命号令战铠</t>
        </is>
      </c>
      <c r="C262" s="8" t="inlineStr">
        <is>
          <t>护甲</t>
        </is>
      </c>
      <c r="D262" s="8" t="n">
        <v>6000</v>
      </c>
      <c r="E262" s="8" t="n">
        <v>112</v>
      </c>
      <c r="F262" s="8" t="n">
        <v>10</v>
      </c>
      <c r="G262" s="8" t="n">
        <v>42</v>
      </c>
      <c r="H262" s="8" t="n">
        <v>20</v>
      </c>
      <c r="I262" s="8" t="n">
        <v>11</v>
      </c>
      <c r="J262" s="8" t="n">
        <v>7</v>
      </c>
      <c r="K262" s="8" t="n">
        <v>13</v>
      </c>
      <c r="L262" s="12" t="inlineStr">
        <is>
          <t>装备技能：主动｜赐剑长驱｜耗能50｜CD8｜提高（最大能量 * 0.5）攻击力，持续5回合。；攻击提高 最大能量*0.5</t>
        </is>
      </c>
    </row>
    <row r="263">
      <c r="A263" s="8" t="n">
        <v>261</v>
      </c>
      <c r="B263" s="18" t="inlineStr">
        <is>
          <t>真命血石</t>
        </is>
      </c>
      <c r="C263" s="8" t="inlineStr">
        <is>
          <t>饰品</t>
        </is>
      </c>
      <c r="D263" s="8" t="n">
        <v>5800</v>
      </c>
      <c r="E263" s="8" t="n">
        <v>35</v>
      </c>
      <c r="F263" s="8" t="n">
        <v>18</v>
      </c>
      <c r="G263" s="8" t="n">
        <v>5</v>
      </c>
      <c r="H263" s="8" t="n">
        <v>25</v>
      </c>
      <c r="I263" s="8" t="n">
        <v>22</v>
      </c>
      <c r="J263" s="8" t="n">
        <v>7</v>
      </c>
      <c r="K263" s="8" t="n">
        <v>11</v>
      </c>
      <c r="L263" s="12" t="inlineStr">
        <is>
          <t>装备技能：被动｜天命所归｜第五回合对敌方造成（0.4 * 最大能量）点真实伤害（不可暴击），并恢复等额生命值。；造成最大能量×0.4伤害；回复最大能量×0.4生命</t>
        </is>
      </c>
    </row>
    <row r="264">
      <c r="A264" s="8" t="n">
        <v>262</v>
      </c>
      <c r="B264" s="11" t="inlineStr">
        <is>
          <t>怒煞面甲</t>
        </is>
      </c>
      <c r="C264" s="6" t="inlineStr">
        <is>
          <t>头盔</t>
        </is>
      </c>
      <c r="D264" s="8" t="n">
        <v>0</v>
      </c>
      <c r="E264" s="8" t="n">
        <v>25</v>
      </c>
      <c r="F264" s="8" t="n">
        <v>20</v>
      </c>
      <c r="G264" s="8" t="n">
        <v>20</v>
      </c>
      <c r="H264" s="8" t="n">
        <v>12</v>
      </c>
      <c r="I264" s="8" t="n">
        <v>15</v>
      </c>
      <c r="J264" s="8" t="n">
        <v>10</v>
      </c>
      <c r="K264" s="8" t="n">
        <v>11</v>
      </c>
    </row>
    <row r="265">
      <c r="A265" s="8" t="n">
        <v>263</v>
      </c>
      <c r="B265" s="11" t="inlineStr">
        <is>
          <t>凝血皮铠</t>
        </is>
      </c>
      <c r="C265" s="6" t="inlineStr">
        <is>
          <t>护甲</t>
        </is>
      </c>
      <c r="D265" s="8" t="n">
        <v>0</v>
      </c>
      <c r="E265" s="8" t="n">
        <v>175</v>
      </c>
      <c r="F265" s="8" t="n">
        <v>1</v>
      </c>
      <c r="G265" s="8" t="n">
        <v>37</v>
      </c>
      <c r="H265" s="8" t="n">
        <v>12</v>
      </c>
      <c r="I265" s="8" t="n">
        <v>9</v>
      </c>
      <c r="J265" s="8" t="n">
        <v>5</v>
      </c>
      <c r="K265" s="8" t="n">
        <v>12</v>
      </c>
    </row>
    <row r="266">
      <c r="A266" s="8" t="n">
        <v>264</v>
      </c>
      <c r="B266" s="11" t="inlineStr">
        <is>
          <t>尖峰行者</t>
        </is>
      </c>
      <c r="C266" s="6" t="inlineStr">
        <is>
          <t>鞋子</t>
        </is>
      </c>
      <c r="D266" s="8" t="n">
        <v>0</v>
      </c>
      <c r="E266" s="8" t="n">
        <v>20</v>
      </c>
      <c r="F266" s="8" t="n">
        <v>15</v>
      </c>
      <c r="G266" s="8" t="n">
        <v>15</v>
      </c>
      <c r="H266" s="8" t="n">
        <v>5</v>
      </c>
      <c r="I266" s="8" t="n">
        <v>15</v>
      </c>
      <c r="J266" s="8" t="n">
        <v>9</v>
      </c>
      <c r="K266" s="8" t="n">
        <v>20</v>
      </c>
    </row>
    <row r="267">
      <c r="A267" s="8" t="n">
        <v>265</v>
      </c>
      <c r="B267" s="11" t="inlineStr">
        <is>
          <t>灵魂破碎之刃</t>
        </is>
      </c>
      <c r="C267" s="6" t="inlineStr">
        <is>
          <t>武器</t>
        </is>
      </c>
      <c r="D267" s="8" t="n">
        <v>0</v>
      </c>
      <c r="E267" s="8" t="n">
        <v>0</v>
      </c>
      <c r="F267" s="8" t="n">
        <v>50</v>
      </c>
      <c r="G267" s="8" t="n">
        <v>0</v>
      </c>
      <c r="H267" s="8" t="n">
        <v>30</v>
      </c>
      <c r="I267" s="8" t="n">
        <v>10</v>
      </c>
      <c r="J267" s="8" t="n">
        <v>22</v>
      </c>
      <c r="K267" s="8" t="n">
        <v>18</v>
      </c>
    </row>
    <row r="268">
      <c r="A268" s="8" t="n">
        <v>266</v>
      </c>
      <c r="B268" s="11" t="inlineStr">
        <is>
          <t>无暇魔球</t>
        </is>
      </c>
      <c r="C268" s="6" t="inlineStr">
        <is>
          <t>饰品</t>
        </is>
      </c>
      <c r="D268" s="8" t="n">
        <v>0</v>
      </c>
      <c r="E268" s="8" t="n">
        <v>20</v>
      </c>
      <c r="F268" s="8" t="n">
        <v>8</v>
      </c>
      <c r="G268" s="8" t="n">
        <v>12</v>
      </c>
      <c r="H268" s="8" t="n">
        <v>75</v>
      </c>
      <c r="I268" s="8" t="n">
        <v>10</v>
      </c>
      <c r="J268" s="8" t="n">
        <v>10</v>
      </c>
      <c r="K268" s="8" t="n">
        <v>10</v>
      </c>
    </row>
    <row r="269">
      <c r="D269" s="8" t="n"/>
      <c r="E269" s="8" t="n"/>
      <c r="F269" s="8" t="n"/>
      <c r="G269" s="8" t="n"/>
      <c r="H269" s="8" t="n"/>
      <c r="I269" s="8" t="n"/>
      <c r="J269" s="8" t="n"/>
      <c r="K269" s="8" t="n"/>
    </row>
    <row r="270">
      <c r="D270" s="8" t="n"/>
      <c r="E270" s="8" t="n"/>
      <c r="F270" s="8" t="n"/>
    </row>
    <row r="271">
      <c r="D271" s="8" t="n"/>
      <c r="E271" s="8" t="n"/>
      <c r="F271" s="8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zoomScale="85" zoomScaleNormal="85" workbookViewId="0">
      <selection activeCell="M12" sqref="M12"/>
    </sheetView>
  </sheetViews>
  <sheetFormatPr baseColWidth="8" defaultRowHeight="14"/>
  <cols>
    <col width="17.83203125" customWidth="1" min="1" max="1"/>
    <col width="19.75" customWidth="1" min="2" max="2"/>
    <col width="15.83203125" customWidth="1" min="3" max="3"/>
    <col width="13.08203125" customWidth="1" min="4" max="4"/>
    <col width="30.08203125" customWidth="1" min="6" max="6"/>
    <col width="20.33203125" customWidth="1" min="8" max="8"/>
    <col width="24.75" customWidth="1" min="9" max="9"/>
  </cols>
  <sheetData>
    <row r="1">
      <c r="A1" t="inlineStr">
        <is>
          <t>编号</t>
        </is>
      </c>
      <c r="B1" t="inlineStr">
        <is>
          <t>名称</t>
        </is>
      </c>
      <c r="C1" t="inlineStr">
        <is>
          <t>类型</t>
        </is>
      </c>
      <c r="D1" t="inlineStr">
        <is>
          <t>威力</t>
        </is>
      </c>
      <c r="E1" t="inlineStr">
        <is>
          <t>能量消耗</t>
        </is>
      </c>
      <c r="F1" t="inlineStr">
        <is>
          <t>Buff效果</t>
        </is>
      </c>
      <c r="G1" t="inlineStr">
        <is>
          <t>持续回合</t>
        </is>
      </c>
      <c r="H1" t="inlineStr">
        <is>
          <t>目标</t>
        </is>
      </c>
      <c r="I1" t="inlineStr">
        <is>
          <t>描述</t>
        </is>
      </c>
      <c r="J1" t="inlineStr">
        <is>
          <t>冷却</t>
        </is>
      </c>
    </row>
    <row r="2">
      <c r="A2" t="n">
        <v>996</v>
      </c>
      <c r="B2" t="inlineStr">
        <is>
          <t>治疗</t>
        </is>
      </c>
      <c r="C2" t="inlineStr">
        <is>
          <t>heal</t>
        </is>
      </c>
      <c r="D2" t="n">
        <v>0</v>
      </c>
      <c r="E2" t="n">
        <v>0</v>
      </c>
      <c r="G2" t="n">
        <v>0</v>
      </c>
      <c r="H2" t="inlineStr">
        <is>
          <t>self</t>
        </is>
      </c>
      <c r="I2" t="inlineStr">
        <is>
          <t>消耗 5+7%最大能量，恢复25%最大生命</t>
        </is>
      </c>
      <c r="J2" t="n">
        <v>4</v>
      </c>
    </row>
    <row r="3">
      <c r="A3" t="n">
        <v>997</v>
      </c>
      <c r="B3" t="inlineStr">
        <is>
          <t>怒击</t>
        </is>
      </c>
      <c r="C3" t="inlineStr">
        <is>
          <t>active</t>
        </is>
      </c>
      <c r="D3" t="n">
        <v>1.6</v>
      </c>
      <c r="E3" t="n">
        <v>0</v>
      </c>
      <c r="G3" t="n">
        <v>0</v>
      </c>
      <c r="H3" t="inlineStr">
        <is>
          <t>enemy</t>
        </is>
      </c>
      <c r="I3" t="inlineStr">
        <is>
          <t>消耗 5+7%最大能量，造成160%伤害</t>
        </is>
      </c>
      <c r="J3" t="n">
        <v>2</v>
      </c>
    </row>
    <row r="4">
      <c r="A4" t="n">
        <v>998</v>
      </c>
      <c r="B4" t="inlineStr">
        <is>
          <t>二连击</t>
        </is>
      </c>
      <c r="C4" t="inlineStr">
        <is>
          <t>active</t>
        </is>
      </c>
      <c r="D4" t="n">
        <v>0.5</v>
      </c>
      <c r="E4" t="n">
        <v>0</v>
      </c>
      <c r="G4" t="n">
        <v>0</v>
      </c>
      <c r="H4" t="inlineStr">
        <is>
          <t>enemy</t>
        </is>
      </c>
      <c r="I4" t="inlineStr">
        <is>
          <t>消耗 5+7%最大能量，连续攻击三次，每次50%伤害</t>
        </is>
      </c>
      <c r="J4" t="n">
        <v>2</v>
      </c>
    </row>
    <row r="5">
      <c r="A5" t="n">
        <v>999</v>
      </c>
      <c r="B5" t="inlineStr">
        <is>
          <t>铁皮</t>
        </is>
      </c>
      <c r="C5" t="inlineStr">
        <is>
          <t>passive</t>
        </is>
      </c>
      <c r="D5" t="n">
        <v>0</v>
      </c>
      <c r="E5" t="n">
        <v>0</v>
      </c>
      <c r="F5" t="inlineStr">
        <is>
          <t>{"stat":"defense_percent","amount":5}</t>
        </is>
      </c>
      <c r="G5" t="n">
        <v>-1</v>
      </c>
      <c r="H5" t="inlineStr">
        <is>
          <t>self</t>
        </is>
      </c>
      <c r="I5" t="inlineStr">
        <is>
          <t>被动：防御提升5%</t>
        </is>
      </c>
      <c r="J5" t="n">
        <v>0</v>
      </c>
    </row>
    <row r="6">
      <c r="A6" t="n">
        <v>1</v>
      </c>
      <c r="B6" t="inlineStr">
        <is>
          <t>旋风斩</t>
        </is>
      </c>
      <c r="C6" t="inlineStr">
        <is>
          <t>active</t>
        </is>
      </c>
      <c r="D6" t="n">
        <v>1.2</v>
      </c>
      <c r="E6" t="n">
        <v>15</v>
      </c>
      <c r="G6" t="n">
        <v>0</v>
      </c>
      <c r="H6" t="inlineStr">
        <is>
          <t>enemy</t>
        </is>
      </c>
      <c r="I6" t="inlineStr">
        <is>
          <t>造成120%攻击力伤害</t>
        </is>
      </c>
      <c r="J6" t="n">
        <v>3</v>
      </c>
    </row>
    <row r="7">
      <c r="A7" t="n">
        <v>2</v>
      </c>
      <c r="B7" t="inlineStr">
        <is>
          <t>坚守</t>
        </is>
      </c>
      <c r="C7" t="inlineStr">
        <is>
          <t>buff</t>
        </is>
      </c>
      <c r="D7" t="n">
        <v>0</v>
      </c>
      <c r="E7" t="n">
        <v>5</v>
      </c>
      <c r="F7" t="inlineStr">
        <is>
          <t>{"stat":"defense_percent","amount":10}</t>
        </is>
      </c>
      <c r="G7" t="n">
        <v>10</v>
      </c>
      <c r="H7" t="inlineStr">
        <is>
          <t>self</t>
        </is>
      </c>
      <c r="I7" t="inlineStr">
        <is>
          <t>防御提升10%，持续10回合</t>
        </is>
      </c>
      <c r="J7" t="n">
        <v>15</v>
      </c>
    </row>
    <row r="8">
      <c r="A8" t="n">
        <v>3</v>
      </c>
      <c r="B8" t="inlineStr">
        <is>
          <t>狂暴之力</t>
        </is>
      </c>
      <c r="C8" t="inlineStr">
        <is>
          <t>buff</t>
        </is>
      </c>
      <c r="D8" t="n">
        <v>0</v>
      </c>
      <c r="E8" t="n">
        <v>0</v>
      </c>
      <c r="F8" t="inlineStr">
        <is>
          <t>{"stat":"attack_percent","amount":20}</t>
        </is>
      </c>
      <c r="G8" t="n">
        <v>6</v>
      </c>
      <c r="H8" t="inlineStr">
        <is>
          <t>self</t>
        </is>
      </c>
      <c r="I8" t="inlineStr">
        <is>
          <t>攻击力提升20%，持续6回合</t>
        </is>
      </c>
      <c r="J8" t="n">
        <v>12</v>
      </c>
    </row>
    <row r="9">
      <c r="A9" t="n">
        <v>4</v>
      </c>
      <c r="B9" t="inlineStr">
        <is>
          <t>暴击精通</t>
        </is>
      </c>
      <c r="C9" t="inlineStr">
        <is>
          <t>passive</t>
        </is>
      </c>
      <c r="D9" t="n">
        <v>0</v>
      </c>
      <c r="E9" t="n">
        <v>0</v>
      </c>
      <c r="F9" t="inlineStr">
        <is>
          <t>{"stat":"crit_percent","amount":6}</t>
        </is>
      </c>
      <c r="G9" t="n">
        <v>-1</v>
      </c>
      <c r="H9" t="inlineStr">
        <is>
          <t>self</t>
        </is>
      </c>
      <c r="I9" t="inlineStr">
        <is>
          <t>被动：暴击永久提升6%</t>
        </is>
      </c>
      <c r="J9" t="n">
        <v>0</v>
      </c>
    </row>
    <row r="10">
      <c r="A10" t="n">
        <v>5</v>
      </c>
      <c r="B10" t="inlineStr">
        <is>
          <t>疾风步</t>
        </is>
      </c>
      <c r="C10" t="inlineStr">
        <is>
          <t>passive</t>
        </is>
      </c>
      <c r="D10" t="n">
        <v>0</v>
      </c>
      <c r="E10" t="n">
        <v>0</v>
      </c>
      <c r="F10" t="inlineStr">
        <is>
          <t>{"stat":"agility_percent","amount":3}</t>
        </is>
      </c>
      <c r="G10" t="n">
        <v>-1</v>
      </c>
      <c r="H10" t="inlineStr">
        <is>
          <t>self</t>
        </is>
      </c>
      <c r="I10" t="inlineStr">
        <is>
          <t>被动：敏捷永久提升3%</t>
        </is>
      </c>
      <c r="J10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60" customWidth="1" min="8" max="8"/>
    <col width="60" customWidth="1" min="9" max="9"/>
  </cols>
  <sheetData>
    <row r="1">
      <c r="A1" t="inlineStr">
        <is>
          <t>技能ID</t>
        </is>
      </c>
      <c r="B1" t="inlineStr">
        <is>
          <t>技能名</t>
        </is>
      </c>
      <c r="C1" t="inlineStr">
        <is>
          <t>类型</t>
        </is>
      </c>
      <c r="D1" t="inlineStr">
        <is>
          <t>能量消耗</t>
        </is>
      </c>
      <c r="E1" t="inlineStr">
        <is>
          <t>冷却</t>
        </is>
      </c>
      <c r="F1" t="inlineStr">
        <is>
          <t>持续回合</t>
        </is>
      </c>
      <c r="G1" t="inlineStr">
        <is>
          <t>目标</t>
        </is>
      </c>
      <c r="H1" t="inlineStr">
        <is>
          <t>来源装备</t>
        </is>
      </c>
      <c r="I1" t="inlineStr">
        <is>
          <t>技能描述</t>
        </is>
      </c>
    </row>
    <row r="2">
      <c r="A2" t="n">
        <v>-161</v>
      </c>
      <c r="B2" t="inlineStr">
        <is>
          <t>黄昏禁锢</t>
        </is>
      </c>
      <c r="C2" t="inlineStr">
        <is>
          <t>主动</t>
        </is>
      </c>
      <c r="D2" t="n">
        <v>20</v>
      </c>
      <c r="E2" t="n">
        <v>30</v>
      </c>
      <c r="F2" t="n">
        <v>3</v>
      </c>
      <c r="G2" t="inlineStr">
        <is>
          <t>敌方</t>
        </is>
      </c>
      <c r="H2" t="inlineStr">
        <is>
          <t>禁界踏破战靴、守界黄昏</t>
        </is>
      </c>
      <c r="I2" t="inlineStr">
        <is>
          <t>耗能20，CD30：眩晕目标3回合，期间目标受到伤害+15%</t>
        </is>
      </c>
    </row>
    <row r="3">
      <c r="A3" t="n">
        <v>-160</v>
      </c>
      <c r="B3" t="inlineStr">
        <is>
          <t>魔王斩</t>
        </is>
      </c>
      <c r="C3" t="inlineStr">
        <is>
          <t>主动</t>
        </is>
      </c>
      <c r="D3" t="n">
        <v>5</v>
      </c>
      <c r="E3" t="n">
        <v>5</v>
      </c>
      <c r="F3" t="n">
        <v>0</v>
      </c>
      <c r="G3" t="inlineStr">
        <is>
          <t>敌方</t>
        </is>
      </c>
      <c r="H3" t="inlineStr">
        <is>
          <t>魔王巨刃、亡者战魂</t>
        </is>
      </c>
      <c r="I3" t="inlineStr">
        <is>
          <t>耗能5，CD5：造成攻击*1.2+破甲伤害</t>
        </is>
      </c>
    </row>
    <row r="4">
      <c r="A4" t="n">
        <v>-159</v>
      </c>
      <c r="B4" t="inlineStr">
        <is>
          <t>骇光猎印</t>
        </is>
      </c>
      <c r="C4" t="inlineStr">
        <is>
          <t>被动</t>
        </is>
      </c>
      <c r="D4" t="n">
        <v>0</v>
      </c>
      <c r="E4" t="n">
        <v>0</v>
      </c>
      <c r="F4" t="n">
        <v>-1</v>
      </c>
      <c r="G4" t="inlineStr">
        <is>
          <t>自身</t>
        </is>
      </c>
      <c r="H4" t="inlineStr">
        <is>
          <t>恐惧猎杀之弓</t>
        </is>
      </c>
      <c r="I4" t="inlineStr">
        <is>
          <t>被动：暴击+(3+能量*0.006)%；第3回合最终伤害+(8+能量*0.01)%，持续2回合</t>
        </is>
      </c>
    </row>
    <row r="5">
      <c r="A5" t="n">
        <v>-158</v>
      </c>
      <c r="B5" t="inlineStr">
        <is>
          <t>风暴穿刺</t>
        </is>
      </c>
      <c r="C5" t="inlineStr">
        <is>
          <t>主动</t>
        </is>
      </c>
      <c r="D5" t="n">
        <v>40</v>
      </c>
      <c r="E5" t="n">
        <v>12</v>
      </c>
      <c r="F5" t="n">
        <v>0</v>
      </c>
      <c r="G5" t="inlineStr">
        <is>
          <t>敌方</t>
        </is>
      </c>
      <c r="H5" t="inlineStr">
        <is>
          <t>风暴戟刃</t>
        </is>
      </c>
      <c r="I5" t="inlineStr">
        <is>
          <t>耗能40，CD12：造成攻击*1.25+敏捷*0.65+破甲*0.7+最大能量*0.3伤害</t>
        </is>
      </c>
    </row>
    <row r="6">
      <c r="A6" t="n">
        <v>-157</v>
      </c>
      <c r="B6" t="inlineStr">
        <is>
          <t>霜之哀伤</t>
        </is>
      </c>
      <c r="C6" t="inlineStr">
        <is>
          <t>主动</t>
        </is>
      </c>
      <c r="D6" t="n">
        <v>10</v>
      </c>
      <c r="E6" t="n">
        <v>20</v>
      </c>
      <c r="F6" t="n">
        <v>10</v>
      </c>
      <c r="G6" t="inlineStr">
        <is>
          <t>敌方</t>
        </is>
      </c>
      <c r="H6" t="inlineStr">
        <is>
          <t>咏叹之杖、哀霜献祭法袍</t>
        </is>
      </c>
      <c r="I6" t="inlineStr">
        <is>
          <t>耗能10，CD20：敌方防御/敏捷-20%，持续10回合，并造成当前能量*0.5伤害</t>
        </is>
      </c>
    </row>
    <row r="7">
      <c r="A7" t="n">
        <v>-156</v>
      </c>
      <c r="B7" t="inlineStr">
        <is>
          <t>镇压</t>
        </is>
      </c>
      <c r="C7" t="inlineStr">
        <is>
          <t>被动</t>
        </is>
      </c>
      <c r="D7" t="n">
        <v>0</v>
      </c>
      <c r="E7" t="n">
        <v>0</v>
      </c>
      <c r="F7" t="n">
        <v>-1</v>
      </c>
      <c r="G7" t="inlineStr">
        <is>
          <t>自身</t>
        </is>
      </c>
      <c r="H7" t="inlineStr">
        <is>
          <t>深渊裂骨锤、深渊王冠、不灭之心</t>
        </is>
      </c>
      <c r="I7" t="inlineStr">
        <is>
          <t>被动：敌方生命&lt;50%时我方伤害+15%；否则自身免伤+15%</t>
        </is>
      </c>
    </row>
    <row r="8">
      <c r="A8" t="n">
        <v>-155</v>
      </c>
      <c r="B8" t="inlineStr">
        <is>
          <t>追猎</t>
        </is>
      </c>
      <c r="C8" t="inlineStr">
        <is>
          <t>主动</t>
        </is>
      </c>
      <c r="D8" t="n">
        <v>40</v>
      </c>
      <c r="E8" t="n">
        <v>20</v>
      </c>
      <c r="F8" t="n">
        <v>5</v>
      </c>
      <c r="G8" t="inlineStr">
        <is>
          <t>敌方</t>
        </is>
      </c>
      <c r="H8" t="inlineStr">
        <is>
          <t>蝠啸裂空镰、夜蝠追猎履</t>
        </is>
      </c>
      <c r="I8" t="inlineStr">
        <is>
          <t>耗能40，CD20：获得敏捷*0.2附伤，持续5回合，并造成攻击*0.25+最大能量*0.1的5次连击</t>
        </is>
      </c>
    </row>
    <row r="9">
      <c r="A9" t="n">
        <v>-154</v>
      </c>
      <c r="B9" t="inlineStr">
        <is>
          <t>轮衡步</t>
        </is>
      </c>
      <c r="C9" t="inlineStr">
        <is>
          <t>被动</t>
        </is>
      </c>
      <c r="D9" t="n">
        <v>0</v>
      </c>
      <c r="E9" t="n">
        <v>0</v>
      </c>
      <c r="F9" t="n">
        <v>-1</v>
      </c>
      <c r="G9" t="inlineStr">
        <is>
          <t>自身</t>
        </is>
      </c>
      <c r="H9" t="inlineStr">
        <is>
          <t>-</t>
        </is>
      </c>
      <c r="I9" t="inlineStr">
        <is>
          <t>被动：敏捷+最大能量*0.015%，第1回合必中1回合</t>
        </is>
      </c>
    </row>
    <row r="10">
      <c r="A10" t="n">
        <v>-153</v>
      </c>
      <c r="B10" t="inlineStr">
        <is>
          <t>踏罡裁影</t>
        </is>
      </c>
      <c r="C10" t="inlineStr">
        <is>
          <t>主动</t>
        </is>
      </c>
      <c r="D10" t="n">
        <v>20</v>
      </c>
      <c r="E10" t="n">
        <v>8</v>
      </c>
      <c r="F10" t="n">
        <v>2</v>
      </c>
      <c r="G10" t="inlineStr">
        <is>
          <t>敌方</t>
        </is>
      </c>
      <c r="H10" t="inlineStr">
        <is>
          <t>日月裁决、日月踏罡靴</t>
        </is>
      </c>
      <c r="I10" t="inlineStr">
        <is>
          <t>耗能20，CD8：造成攻击*1.1+敏捷*0.7伤害，并必中2回合</t>
        </is>
      </c>
    </row>
    <row r="11">
      <c r="A11" t="n">
        <v>-152</v>
      </c>
      <c r="B11" t="inlineStr">
        <is>
          <t>赤鳞复燃</t>
        </is>
      </c>
      <c r="C11" t="inlineStr">
        <is>
          <t>主动</t>
        </is>
      </c>
      <c r="D11" t="n">
        <v>15</v>
      </c>
      <c r="E11" t="n">
        <v>10</v>
      </c>
      <c r="F11" t="n">
        <v>5</v>
      </c>
      <c r="G11" t="inlineStr">
        <is>
          <t>自身</t>
        </is>
      </c>
      <c r="H11" t="inlineStr">
        <is>
          <t>蛟瞳炎冠、赤鳞蜕甲、熔迹蛟靴</t>
        </is>
      </c>
      <c r="I11" t="inlineStr">
        <is>
          <t>耗能15，CD10：恢复最大生命*0.08+最大能量*0.1，最终伤害+12%、普攻附加攻击*0.12伤害，持续5回合</t>
        </is>
      </c>
    </row>
    <row r="12">
      <c r="A12" t="n">
        <v>-151</v>
      </c>
      <c r="B12" t="inlineStr">
        <is>
          <t>裂鳞护体</t>
        </is>
      </c>
      <c r="C12" t="inlineStr">
        <is>
          <t>主动</t>
        </is>
      </c>
      <c r="D12" t="n">
        <v>12</v>
      </c>
      <c r="E12" t="n">
        <v>12</v>
      </c>
      <c r="F12" t="n">
        <v>3</v>
      </c>
      <c r="G12" t="inlineStr">
        <is>
          <t>自身</t>
        </is>
      </c>
      <c r="H12" t="inlineStr">
        <is>
          <t>裂岩赤鳞甲</t>
        </is>
      </c>
      <c r="I12" t="inlineStr">
        <is>
          <t>耗能12，CD12：恢复最大生命*0.08+最大能量*0.2，最终受伤降低，持续3回合</t>
        </is>
      </c>
    </row>
    <row r="13">
      <c r="A13" t="n">
        <v>-150</v>
      </c>
      <c r="B13" t="inlineStr">
        <is>
          <t>裂岩契约</t>
        </is>
      </c>
      <c r="C13" t="inlineStr">
        <is>
          <t>主动</t>
        </is>
      </c>
      <c r="D13" t="n">
        <v>12</v>
      </c>
      <c r="E13" t="n">
        <v>6</v>
      </c>
      <c r="F13" t="n">
        <v>3</v>
      </c>
      <c r="G13" t="inlineStr">
        <is>
          <t>敌方</t>
        </is>
      </c>
      <c r="H13" t="inlineStr">
        <is>
          <t>裂岩战斧、岩核契约之环</t>
        </is>
      </c>
      <c r="I13" t="inlineStr">
        <is>
          <t>耗能12，CD6：造成攻击*1.3+防御*0.6+最大能量*0.2伤害，敌方防御-12%，持续3回合</t>
        </is>
      </c>
    </row>
    <row r="14">
      <c r="A14" t="n">
        <v>-149</v>
      </c>
      <c r="B14" t="inlineStr">
        <is>
          <t>虚化</t>
        </is>
      </c>
      <c r="C14" t="inlineStr">
        <is>
          <t>主动</t>
        </is>
      </c>
      <c r="D14" t="n">
        <v>10</v>
      </c>
      <c r="E14" t="n">
        <v>8</v>
      </c>
      <c r="F14" t="n">
        <v>5</v>
      </c>
      <c r="G14" t="inlineStr">
        <is>
          <t>自身</t>
        </is>
      </c>
      <c r="H14" t="inlineStr">
        <is>
          <t>虚灵幽骸面罩、魔灵残响步履</t>
        </is>
      </c>
      <c r="I14" t="inlineStr">
        <is>
          <t>耗能10，CD8：必闪1回合，敏捷+25%，持续5回合</t>
        </is>
      </c>
    </row>
    <row r="15">
      <c r="A15" t="n">
        <v>-148</v>
      </c>
      <c r="B15" t="inlineStr">
        <is>
          <t>蓄势</t>
        </is>
      </c>
      <c r="C15" t="inlineStr">
        <is>
          <t>主动</t>
        </is>
      </c>
      <c r="D15" t="n">
        <v>60</v>
      </c>
      <c r="E15" t="n">
        <v>10</v>
      </c>
      <c r="F15" t="n">
        <v>1</v>
      </c>
      <c r="G15" t="inlineStr">
        <is>
          <t>自身</t>
        </is>
      </c>
      <c r="H15" t="inlineStr">
        <is>
          <t>怒涛血狱锤斧</t>
        </is>
      </c>
      <c r="I15" t="inlineStr">
        <is>
          <t>耗能60，CD10：最终伤害+(100+能量*0.01)%，最终受伤-(能量*0.05)%，持续1回合</t>
        </is>
      </c>
    </row>
    <row r="16">
      <c r="A16" t="n">
        <v>-147</v>
      </c>
      <c r="B16" t="inlineStr">
        <is>
          <t>自然之力</t>
        </is>
      </c>
      <c r="C16" t="inlineStr">
        <is>
          <t>被动</t>
        </is>
      </c>
      <c r="D16" t="n">
        <v>0</v>
      </c>
      <c r="E16" t="n">
        <v>0</v>
      </c>
      <c r="F16" t="n">
        <v>-1</v>
      </c>
      <c r="G16" t="inlineStr">
        <is>
          <t>自身</t>
        </is>
      </c>
      <c r="H16" t="inlineStr">
        <is>
          <t>自然之泪</t>
        </is>
      </c>
      <c r="I16" t="inlineStr">
        <is>
          <t>被动：最大生命+5%，最大能量+5%</t>
        </is>
      </c>
    </row>
    <row r="17">
      <c r="A17" t="n">
        <v>-146</v>
      </c>
      <c r="B17" t="inlineStr">
        <is>
          <t>统御者</t>
        </is>
      </c>
      <c r="C17" t="inlineStr">
        <is>
          <t>被动</t>
        </is>
      </c>
      <c r="D17" t="n">
        <v>0</v>
      </c>
      <c r="E17" t="n">
        <v>0</v>
      </c>
      <c r="F17" t="n">
        <v>-1</v>
      </c>
      <c r="G17" t="inlineStr">
        <is>
          <t>自身</t>
        </is>
      </c>
      <c r="H17" t="inlineStr">
        <is>
          <t>统领者战袍、统领者战靴、统帅之盔</t>
        </is>
      </c>
      <c r="I17" t="inlineStr">
        <is>
          <t>被动：最终伤害+10%</t>
        </is>
      </c>
    </row>
    <row r="18">
      <c r="A18" t="n">
        <v>-145</v>
      </c>
      <c r="B18" t="inlineStr">
        <is>
          <t>繁荣不息</t>
        </is>
      </c>
      <c r="C18" t="inlineStr">
        <is>
          <t>主动</t>
        </is>
      </c>
      <c r="D18" t="n">
        <v>0</v>
      </c>
      <c r="E18" t="n">
        <v>30</v>
      </c>
      <c r="F18" t="n">
        <v>30</v>
      </c>
      <c r="G18" t="inlineStr">
        <is>
          <t>自身</t>
        </is>
      </c>
      <c r="H18" t="inlineStr">
        <is>
          <t>繁荣腐化之心、繁荣腐化铠甲</t>
        </is>
      </c>
      <c r="I18" t="inlineStr">
        <is>
          <t>耗能护甲强化等级，CD30：每回合恢复(0.1*护甲强化等级)%最大生命，持续30回合，并立刻恢复3%最大生命</t>
        </is>
      </c>
    </row>
    <row r="19">
      <c r="A19" t="n">
        <v>-144</v>
      </c>
      <c r="B19" t="inlineStr">
        <is>
          <t>秘钥开环</t>
        </is>
      </c>
      <c r="C19" t="inlineStr">
        <is>
          <t>被动</t>
        </is>
      </c>
      <c r="D19" t="n">
        <v>0</v>
      </c>
      <c r="E19" t="n">
        <v>0</v>
      </c>
      <c r="F19" t="n">
        <v>-1</v>
      </c>
      <c r="G19" t="inlineStr">
        <is>
          <t>自身</t>
        </is>
      </c>
      <c r="H19" t="inlineStr">
        <is>
          <t>光阴秘钥、流光行者踏靴</t>
        </is>
      </c>
      <c r="I19" t="inlineStr">
        <is>
          <t>被动：第5回合最终伤害+20%持续2回合，并造成最大能量*2.5伤害</t>
        </is>
      </c>
    </row>
    <row r="20">
      <c r="A20" t="n">
        <v>-143</v>
      </c>
      <c r="B20" t="inlineStr">
        <is>
          <t>祥云消难</t>
        </is>
      </c>
      <c r="C20" t="inlineStr">
        <is>
          <t>被动</t>
        </is>
      </c>
      <c r="D20" t="n">
        <v>0</v>
      </c>
      <c r="E20" t="n">
        <v>0</v>
      </c>
      <c r="F20" t="n">
        <v>-1</v>
      </c>
      <c r="G20" t="inlineStr">
        <is>
          <t>自身</t>
        </is>
      </c>
      <c r="H20" t="inlineStr">
        <is>
          <t>隐秘-碧玉天青铠</t>
        </is>
      </c>
      <c r="I20" t="inlineStr">
        <is>
          <t>被动：入场最终受伤-(最大能量*0.03)%持续3回合，第1回合恢复10%已损生命</t>
        </is>
      </c>
    </row>
    <row r="21">
      <c r="A21" t="n">
        <v>-142</v>
      </c>
      <c r="B21" t="inlineStr">
        <is>
          <t>神风</t>
        </is>
      </c>
      <c r="C21" t="inlineStr">
        <is>
          <t>被动</t>
        </is>
      </c>
      <c r="D21" t="n">
        <v>0</v>
      </c>
      <c r="E21" t="n">
        <v>0</v>
      </c>
      <c r="F21" t="n">
        <v>-1</v>
      </c>
      <c r="G21" t="inlineStr">
        <is>
          <t>自身</t>
        </is>
      </c>
      <c r="H21" t="inlineStr">
        <is>
          <t>堕风神甲、飓风神石</t>
        </is>
      </c>
      <c r="I21" t="inlineStr">
        <is>
          <t>被动：敏捷+10%</t>
        </is>
      </c>
    </row>
    <row r="22">
      <c r="A22" t="n">
        <v>-141</v>
      </c>
      <c r="B22" t="inlineStr">
        <is>
          <t>磐石</t>
        </is>
      </c>
      <c r="C22" t="inlineStr">
        <is>
          <t>被动</t>
        </is>
      </c>
      <c r="D22" t="n">
        <v>0</v>
      </c>
      <c r="E22" t="n">
        <v>0</v>
      </c>
      <c r="F22" t="n">
        <v>-1</v>
      </c>
      <c r="G22" t="inlineStr">
        <is>
          <t>自身</t>
        </is>
      </c>
      <c r="H22" t="inlineStr">
        <is>
          <t>上古岩铠、黑曜石盾刃、黑曜石头盔</t>
        </is>
      </c>
      <c r="I22" t="inlineStr">
        <is>
          <t>被动：格挡+20（最终受伤-20）</t>
        </is>
      </c>
    </row>
    <row r="23">
      <c r="A23" t="n">
        <v>-140</v>
      </c>
      <c r="B23" t="inlineStr">
        <is>
          <t>破碎碾压</t>
        </is>
      </c>
      <c r="C23" t="inlineStr">
        <is>
          <t>被动</t>
        </is>
      </c>
      <c r="D23" t="n">
        <v>0</v>
      </c>
      <c r="E23" t="n">
        <v>0</v>
      </c>
      <c r="F23" t="n">
        <v>-1</v>
      </c>
      <c r="G23" t="inlineStr">
        <is>
          <t>自身</t>
        </is>
      </c>
      <c r="H23" t="inlineStr">
        <is>
          <t>深渊裂骨锤、骸之王座甲</t>
        </is>
      </c>
      <c r="I23" t="inlineStr">
        <is>
          <t>被动：第5回合开始，穿透+(武器强化+护甲强化)%、最终伤害+能量*0.02%，持续3回合</t>
        </is>
      </c>
    </row>
    <row r="24">
      <c r="A24" t="n">
        <v>-139</v>
      </c>
      <c r="B24" t="inlineStr">
        <is>
          <t>瞬时偏移</t>
        </is>
      </c>
      <c r="C24" t="inlineStr">
        <is>
          <t>主动</t>
        </is>
      </c>
      <c r="D24" t="n">
        <v>18</v>
      </c>
      <c r="E24" t="n">
        <v>10</v>
      </c>
      <c r="F24" t="n">
        <v>3</v>
      </c>
      <c r="G24" t="inlineStr">
        <is>
          <t>自身</t>
        </is>
      </c>
      <c r="H24" t="inlineStr">
        <is>
          <t>流光行者踏靴</t>
        </is>
      </c>
      <c r="I24" t="inlineStr">
        <is>
          <t>耗能18，CD10：必闪1回合，敏捷+20%，持续3回合</t>
        </is>
      </c>
    </row>
    <row r="25">
      <c r="A25" t="n">
        <v>-138</v>
      </c>
      <c r="B25" t="inlineStr">
        <is>
          <t>看破</t>
        </is>
      </c>
      <c r="C25" t="inlineStr">
        <is>
          <t>被动</t>
        </is>
      </c>
      <c r="D25" t="n">
        <v>0</v>
      </c>
      <c r="E25" t="n">
        <v>0</v>
      </c>
      <c r="F25" t="n">
        <v>-1</v>
      </c>
      <c r="G25" t="inlineStr">
        <is>
          <t>自身</t>
        </is>
      </c>
      <c r="H25" t="inlineStr">
        <is>
          <t>隐秘-明目之冕</t>
        </is>
      </c>
      <c r="I25" t="inlineStr">
        <is>
          <t>被动：暴击+5%，穿透+5%</t>
        </is>
      </c>
    </row>
    <row r="26">
      <c r="A26" t="n">
        <v>-137</v>
      </c>
      <c r="B26" t="inlineStr">
        <is>
          <t>盛怒绽放</t>
        </is>
      </c>
      <c r="C26" t="inlineStr">
        <is>
          <t>主动</t>
        </is>
      </c>
      <c r="D26" t="n">
        <v>0</v>
      </c>
      <c r="E26" t="n">
        <v>40</v>
      </c>
      <c r="F26" t="n">
        <v>10</v>
      </c>
      <c r="G26" t="inlineStr">
        <is>
          <t>敌方</t>
        </is>
      </c>
      <c r="H26" t="inlineStr">
        <is>
          <t>荆棘花冠、绽放之刺、泣血花蕊之坠</t>
        </is>
      </c>
      <c r="I26" t="inlineStr">
        <is>
          <t>耗能25%最大能量，CD40：造成攻击*1.25+当前能量*3伤害，恢复25%已损生命，防御+最大能量*0.01%，持续10回合</t>
        </is>
      </c>
    </row>
    <row r="27">
      <c r="A27" t="n">
        <v>-136</v>
      </c>
      <c r="B27" t="inlineStr">
        <is>
          <t>瘟骨裂击</t>
        </is>
      </c>
      <c r="C27" t="inlineStr">
        <is>
          <t>主动</t>
        </is>
      </c>
      <c r="D27" t="n">
        <v>20</v>
      </c>
      <c r="E27" t="n">
        <v>15</v>
      </c>
      <c r="F27" t="n">
        <v>5</v>
      </c>
      <c r="G27" t="inlineStr">
        <is>
          <t>敌方</t>
        </is>
      </c>
      <c r="H27" t="inlineStr">
        <is>
          <t>瘟疫魔刃</t>
        </is>
      </c>
      <c r="I27" t="inlineStr">
        <is>
          <t>耗能20，CD15：造成攻击*1.5+最大生命*0.05+最大能量*0.4伤害，敌方治疗-(35+能量*0.02)%，持续5回合</t>
        </is>
      </c>
    </row>
    <row r="28">
      <c r="A28" t="n">
        <v>-135</v>
      </c>
      <c r="B28" t="inlineStr">
        <is>
          <t>瘟骨压迫</t>
        </is>
      </c>
      <c r="C28" t="inlineStr">
        <is>
          <t>主动</t>
        </is>
      </c>
      <c r="D28" t="n">
        <v>18</v>
      </c>
      <c r="E28" t="n">
        <v>12</v>
      </c>
      <c r="F28" t="n">
        <v>6</v>
      </c>
      <c r="G28" t="inlineStr">
        <is>
          <t>敌方</t>
        </is>
      </c>
      <c r="H28" t="inlineStr">
        <is>
          <t>亡者均势之铠、流瘟裂骨杵</t>
        </is>
      </c>
      <c r="I28" t="inlineStr">
        <is>
          <t>耗能18，CD12：造成攻击*2+最大生命*0.08伤害，敌方治疗-50%，持续6回合</t>
        </is>
      </c>
    </row>
    <row r="29">
      <c r="A29" t="n">
        <v>-134</v>
      </c>
      <c r="B29" t="inlineStr">
        <is>
          <t>疾焰突袭</t>
        </is>
      </c>
      <c r="C29" t="inlineStr">
        <is>
          <t>主动</t>
        </is>
      </c>
      <c r="D29" t="n">
        <v>10</v>
      </c>
      <c r="E29" t="n">
        <v>12</v>
      </c>
      <c r="F29" t="n">
        <v>2</v>
      </c>
      <c r="G29" t="inlineStr">
        <is>
          <t>敌方</t>
        </is>
      </c>
      <c r="H29" t="inlineStr">
        <is>
          <t>蛟瞳炎冠、熔迹蛟靴</t>
        </is>
      </c>
      <c r="I29" t="inlineStr">
        <is>
          <t>耗能10，CD12：造成攻击*1.1+敏捷*0.8+最大能量*0.2伤害，敏捷+15%，持续2回合</t>
        </is>
      </c>
    </row>
    <row r="30">
      <c r="A30" t="n">
        <v>-133</v>
      </c>
      <c r="B30" t="inlineStr">
        <is>
          <t>生死均势</t>
        </is>
      </c>
      <c r="C30" t="inlineStr">
        <is>
          <t>被动</t>
        </is>
      </c>
      <c r="D30" t="n">
        <v>0</v>
      </c>
      <c r="E30" t="n">
        <v>0</v>
      </c>
      <c r="F30" t="n">
        <v>-1</v>
      </c>
      <c r="G30" t="inlineStr">
        <is>
          <t>自身</t>
        </is>
      </c>
      <c r="H30" t="inlineStr">
        <is>
          <t>永夜封灵冠、亡者均势之铠</t>
        </is>
      </c>
      <c r="I30" t="inlineStr">
        <is>
          <t>被动：敌方生命≥50%时最终受伤-10%；&lt;50%时最终伤害+10%；攻击/防御各+能量*0.01</t>
        </is>
      </c>
    </row>
    <row r="31">
      <c r="A31" t="n">
        <v>-132</v>
      </c>
      <c r="B31" t="inlineStr">
        <is>
          <t>王风号令</t>
        </is>
      </c>
      <c r="C31" t="inlineStr">
        <is>
          <t>被动</t>
        </is>
      </c>
      <c r="D31" t="n">
        <v>0</v>
      </c>
      <c r="E31" t="n">
        <v>0</v>
      </c>
      <c r="F31" t="n">
        <v>-1</v>
      </c>
      <c r="G31" t="inlineStr">
        <is>
          <t>自身</t>
        </is>
      </c>
      <c r="H31" t="inlineStr">
        <is>
          <t>风怒战环、万风王冠</t>
        </is>
      </c>
      <c r="I31" t="inlineStr">
        <is>
          <t>被动：敏捷永久+最大能量*0.012%，第1回合必中1回合</t>
        </is>
      </c>
    </row>
    <row r="32">
      <c r="A32" t="n">
        <v>-131</v>
      </c>
      <c r="B32" t="inlineStr">
        <is>
          <t>狩猎形态</t>
        </is>
      </c>
      <c r="C32" t="inlineStr">
        <is>
          <t>被动</t>
        </is>
      </c>
      <c r="D32" t="n">
        <v>0</v>
      </c>
      <c r="E32" t="n">
        <v>0</v>
      </c>
      <c r="F32" t="n">
        <v>-1</v>
      </c>
      <c r="G32" t="inlineStr">
        <is>
          <t>自身</t>
        </is>
      </c>
      <c r="H32" t="inlineStr">
        <is>
          <t>魔武狩猎者之靴</t>
        </is>
      </c>
      <c r="I32" t="inlineStr">
        <is>
          <t>被动：第1回合敏捷+(6+能量*0.01)%，并必中1回合</t>
        </is>
      </c>
    </row>
    <row r="33">
      <c r="A33" t="n">
        <v>-130</v>
      </c>
      <c r="B33" t="inlineStr">
        <is>
          <t>爆裂</t>
        </is>
      </c>
      <c r="C33" t="inlineStr">
        <is>
          <t>主动</t>
        </is>
      </c>
      <c r="D33" t="n">
        <v>10</v>
      </c>
      <c r="E33" t="n">
        <v>10</v>
      </c>
      <c r="F33" t="n">
        <v>0</v>
      </c>
      <c r="G33" t="inlineStr">
        <is>
          <t>敌方</t>
        </is>
      </c>
      <c r="H33" t="inlineStr">
        <is>
          <t>撼岳战盔、地裂蛮神铠、裂地撼山杵、崩裂行者、大地之心</t>
        </is>
      </c>
      <c r="I33" t="inlineStr">
        <is>
          <t>耗能10，CD10：造成攻击+暴击*0.1+破甲*0.1+防御*0.3伤害</t>
        </is>
      </c>
    </row>
    <row r="34">
      <c r="A34" t="n">
        <v>-129</v>
      </c>
      <c r="B34" t="inlineStr">
        <is>
          <t>燃魂之血</t>
        </is>
      </c>
      <c r="C34" t="inlineStr">
        <is>
          <t>被动</t>
        </is>
      </c>
      <c r="D34" t="n">
        <v>0</v>
      </c>
      <c r="E34" t="n">
        <v>0</v>
      </c>
      <c r="F34" t="n">
        <v>-1</v>
      </c>
      <c r="G34" t="inlineStr">
        <is>
          <t>自身</t>
        </is>
      </c>
      <c r="H34" t="inlineStr">
        <is>
          <t>赤沸怒啸战盔、沸血战铠、沸血践踏者</t>
        </is>
      </c>
      <c r="I34" t="inlineStr">
        <is>
          <t>被动：降低最大能量*0.02%最大生命，获得攻击/暴击+最大生命*最大能量*0.00014</t>
        </is>
      </c>
    </row>
    <row r="35">
      <c r="A35" t="n">
        <v>-128</v>
      </c>
      <c r="B35" t="inlineStr">
        <is>
          <t>灼炎领域</t>
        </is>
      </c>
      <c r="C35" t="inlineStr">
        <is>
          <t>主动</t>
        </is>
      </c>
      <c r="D35" t="n">
        <v>30</v>
      </c>
      <c r="E35" t="n">
        <v>15</v>
      </c>
      <c r="F35" t="n">
        <v>8</v>
      </c>
      <c r="G35" t="inlineStr">
        <is>
          <t>敌方</t>
        </is>
      </c>
      <c r="H35" t="inlineStr">
        <is>
          <t>灼火地煞、炎阳明珠</t>
        </is>
      </c>
      <c r="I35" t="inlineStr">
        <is>
          <t>耗能30，CD15：普攻附加攻击*0.5伤害与最大能量*0.1真实伤害，敌方重伤（治疗-50%），持续8回合</t>
        </is>
      </c>
    </row>
    <row r="36">
      <c r="A36" t="n">
        <v>-127</v>
      </c>
      <c r="B36" t="inlineStr">
        <is>
          <t>灵风</t>
        </is>
      </c>
      <c r="C36" t="inlineStr">
        <is>
          <t>主动</t>
        </is>
      </c>
      <c r="D36" t="n">
        <v>1</v>
      </c>
      <c r="E36" t="n">
        <v>10</v>
      </c>
      <c r="F36" t="n">
        <v>2</v>
      </c>
      <c r="G36" t="inlineStr">
        <is>
          <t>敌方</t>
        </is>
      </c>
      <c r="H36" t="inlineStr">
        <is>
          <t>灵风鬓冠、灵风法杖</t>
        </is>
      </c>
      <c r="I36" t="inlineStr">
        <is>
          <t>耗能1，CD10：眩晕敌方2回合</t>
        </is>
      </c>
    </row>
    <row r="37">
      <c r="A37" t="n">
        <v>-126</v>
      </c>
      <c r="B37" t="inlineStr">
        <is>
          <t>渴血追袭</t>
        </is>
      </c>
      <c r="C37" t="inlineStr">
        <is>
          <t>被动</t>
        </is>
      </c>
      <c r="D37" t="n">
        <v>0</v>
      </c>
      <c r="E37" t="n">
        <v>0</v>
      </c>
      <c r="F37" t="n">
        <v>-1</v>
      </c>
      <c r="G37" t="inlineStr">
        <is>
          <t>自身</t>
        </is>
      </c>
      <c r="H37" t="inlineStr">
        <is>
          <t>赤岚追袭铁面</t>
        </is>
      </c>
      <c r="I37" t="inlineStr">
        <is>
          <t>被动：每回合恢复0.02*(攻击+敏捷-防御)生命，攻击+能量*0.05</t>
        </is>
      </c>
    </row>
    <row r="38">
      <c r="A38" t="n">
        <v>-125</v>
      </c>
      <c r="B38" t="inlineStr">
        <is>
          <t>深渊暴动</t>
        </is>
      </c>
      <c r="C38" t="inlineStr">
        <is>
          <t>主动</t>
        </is>
      </c>
      <c r="D38" t="n">
        <v>30</v>
      </c>
      <c r="E38" t="n">
        <v>50</v>
      </c>
      <c r="F38" t="n">
        <v>6</v>
      </c>
      <c r="G38" t="inlineStr">
        <is>
          <t>自身</t>
        </is>
      </c>
      <c r="H38" t="inlineStr">
        <is>
          <t>幽幕灵织袍、暴动魔核、流渊穿越者</t>
        </is>
      </c>
      <c r="I38" t="inlineStr">
        <is>
          <t>耗能30，CD50：暴走6回合：最终伤害+30%、敏捷+50%，每次攻击附带敏捷*0.1真实伤害</t>
        </is>
      </c>
    </row>
    <row r="39">
      <c r="A39" t="n">
        <v>-124</v>
      </c>
      <c r="B39" t="inlineStr">
        <is>
          <t>沸血之毒</t>
        </is>
      </c>
      <c r="C39" t="inlineStr">
        <is>
          <t>主动</t>
        </is>
      </c>
      <c r="D39" t="n">
        <v>100</v>
      </c>
      <c r="E39" t="n">
        <v>100</v>
      </c>
      <c r="F39" t="n">
        <v>100</v>
      </c>
      <c r="G39" t="inlineStr">
        <is>
          <t>敌方</t>
        </is>
      </c>
      <c r="H39" t="inlineStr">
        <is>
          <t>隐秘-蛇皇之怒</t>
        </is>
      </c>
      <c r="I39" t="inlineStr">
        <is>
          <t>耗能100，CD100：获得攻击*0.03真实伤害附伤（持续整场），造成最大能量*0.1伤害，敌方最终伤害降低最大能量*0.01%，持续100回合</t>
        </is>
      </c>
    </row>
    <row r="40">
      <c r="A40" t="n">
        <v>-123</v>
      </c>
      <c r="B40" t="inlineStr">
        <is>
          <t>月华秘钥</t>
        </is>
      </c>
      <c r="C40" t="inlineStr">
        <is>
          <t>主动</t>
        </is>
      </c>
      <c r="D40" t="n">
        <v>20</v>
      </c>
      <c r="E40" t="n">
        <v>18</v>
      </c>
      <c r="F40" t="n">
        <v>5</v>
      </c>
      <c r="G40" t="inlineStr">
        <is>
          <t>自身</t>
        </is>
      </c>
      <c r="H40" t="inlineStr">
        <is>
          <t>月华秘镜</t>
        </is>
      </c>
      <c r="I40" t="inlineStr">
        <is>
          <t>耗能20，CD18：恢复最大生命*0.1+最大能量*0.25，最终受伤-(15+能量*0.015)%，持续5回合</t>
        </is>
      </c>
    </row>
    <row r="41">
      <c r="A41" t="n">
        <v>-122</v>
      </c>
      <c r="B41" t="inlineStr">
        <is>
          <t>月华守衡</t>
        </is>
      </c>
      <c r="C41" t="inlineStr">
        <is>
          <t>被动</t>
        </is>
      </c>
      <c r="D41" t="n">
        <v>0</v>
      </c>
      <c r="E41" t="n">
        <v>0</v>
      </c>
      <c r="F41" t="n">
        <v>-1</v>
      </c>
      <c r="G41" t="inlineStr">
        <is>
          <t>自身</t>
        </is>
      </c>
      <c r="H41" t="inlineStr">
        <is>
          <t>日月天衡冠、日月踏罡靴、月华之环</t>
        </is>
      </c>
      <c r="I41" t="inlineStr">
        <is>
          <t>被动：每回合按敌方血量切换：≥50%时最终受伤-(5+能量*0.01)%；&lt;50%时敏捷+(5+能量*0.01)%</t>
        </is>
      </c>
    </row>
    <row r="42">
      <c r="A42" t="n">
        <v>-121</v>
      </c>
      <c r="B42" t="inlineStr">
        <is>
          <t>暴食</t>
        </is>
      </c>
      <c r="C42" t="inlineStr">
        <is>
          <t>主动</t>
        </is>
      </c>
      <c r="D42" t="n">
        <v>50</v>
      </c>
      <c r="E42" t="n">
        <v>30</v>
      </c>
      <c r="F42" t="n">
        <v>10</v>
      </c>
      <c r="G42" t="inlineStr">
        <is>
          <t>自身</t>
        </is>
      </c>
      <c r="H42" t="inlineStr">
        <is>
          <t>饕餮之冠</t>
        </is>
      </c>
      <c r="I42" t="inlineStr">
        <is>
          <t>耗能50，CD30：降低自身10%当前生命，获得能量*0.03%攻击和暴击加成，每回合恢复能量*0.02生命，持续10回合</t>
        </is>
      </c>
    </row>
    <row r="43">
      <c r="A43" t="n">
        <v>-120</v>
      </c>
      <c r="B43" t="inlineStr">
        <is>
          <t>暴风扰动</t>
        </is>
      </c>
      <c r="C43" t="inlineStr">
        <is>
          <t>被动</t>
        </is>
      </c>
      <c r="D43" t="n">
        <v>0</v>
      </c>
      <c r="E43" t="n">
        <v>0</v>
      </c>
      <c r="F43" t="n">
        <v>-1</v>
      </c>
      <c r="G43" t="inlineStr">
        <is>
          <t>敌方</t>
        </is>
      </c>
      <c r="H43" t="inlineStr">
        <is>
          <t>暴风神甲</t>
        </is>
      </c>
      <c r="I43" t="inlineStr">
        <is>
          <t>被动：每回合使敌方最终伤害-(5+能量*0.01)%</t>
        </is>
      </c>
    </row>
    <row r="44">
      <c r="A44" t="n">
        <v>-119</v>
      </c>
      <c r="B44" t="inlineStr">
        <is>
          <t>日耀裁决</t>
        </is>
      </c>
      <c r="C44" t="inlineStr">
        <is>
          <t>主动</t>
        </is>
      </c>
      <c r="D44" t="n">
        <v>45</v>
      </c>
      <c r="E44" t="n">
        <v>18</v>
      </c>
      <c r="F44" t="n">
        <v>2</v>
      </c>
      <c r="G44" t="inlineStr">
        <is>
          <t>敌方</t>
        </is>
      </c>
      <c r="H44" t="inlineStr">
        <is>
          <t>日耀裁决刃</t>
        </is>
      </c>
      <c r="I44" t="inlineStr">
        <is>
          <t>耗能45，CD18：造成攻击*1.35+破甲+最大能量*0.5+回合数*4真实伤害，自身最终伤害+(5+能量*0.01)%，持续2回合</t>
        </is>
      </c>
    </row>
    <row r="45">
      <c r="A45" t="n">
        <v>-118</v>
      </c>
      <c r="B45" t="inlineStr">
        <is>
          <t>日耀审判</t>
        </is>
      </c>
      <c r="C45" t="inlineStr">
        <is>
          <t>主动</t>
        </is>
      </c>
      <c r="D45" t="n">
        <v>50</v>
      </c>
      <c r="E45" t="n">
        <v>20</v>
      </c>
      <c r="F45" t="n">
        <v>2</v>
      </c>
      <c r="G45" t="inlineStr">
        <is>
          <t>敌方</t>
        </is>
      </c>
      <c r="H45" t="inlineStr">
        <is>
          <t>日月天衡冠、日月裁决、日耀之环</t>
        </is>
      </c>
      <c r="I45" t="inlineStr">
        <is>
          <t>耗能50，CD20：造成攻击*1.3+暴击*1.2+破甲+最大能量*0.5伤害，自身最终伤害+(5+能量*0.01)%，持续2回合</t>
        </is>
      </c>
    </row>
    <row r="46">
      <c r="A46" t="n">
        <v>-117</v>
      </c>
      <c r="B46" t="inlineStr">
        <is>
          <t>无量通行</t>
        </is>
      </c>
      <c r="C46" t="inlineStr">
        <is>
          <t>主动</t>
        </is>
      </c>
      <c r="D46" t="n">
        <v>10</v>
      </c>
      <c r="E46" t="n">
        <v>20</v>
      </c>
      <c r="F46" t="n">
        <v>3</v>
      </c>
      <c r="G46" t="inlineStr">
        <is>
          <t>自身</t>
        </is>
      </c>
      <c r="H46" t="inlineStr">
        <is>
          <t>隐秘-终界谕令残篇</t>
        </is>
      </c>
      <c r="I46" t="inlineStr">
        <is>
          <t>耗能10，CD20：敏捷+(10+饰品强化等级)%，并必中，持续3回合</t>
        </is>
      </c>
    </row>
    <row r="47">
      <c r="A47" t="n">
        <v>-115</v>
      </c>
      <c r="B47" t="inlineStr">
        <is>
          <t>岩火守望</t>
        </is>
      </c>
      <c r="C47" t="inlineStr">
        <is>
          <t>被动</t>
        </is>
      </c>
      <c r="D47" t="n">
        <v>0</v>
      </c>
      <c r="E47" t="n">
        <v>0</v>
      </c>
      <c r="F47" t="n">
        <v>-1</v>
      </c>
      <c r="G47" t="inlineStr">
        <is>
          <t>自身</t>
        </is>
      </c>
      <c r="H47" t="inlineStr">
        <is>
          <t>岩火守望冠</t>
        </is>
      </c>
      <c r="I47" t="inlineStr">
        <is>
          <t>被动：战斗开始格挡+(头盔强化等级+能量*0.04)持续5回合，第6回合暴击+5%</t>
        </is>
      </c>
    </row>
    <row r="48">
      <c r="A48" t="n">
        <v>-114</v>
      </c>
      <c r="B48" t="inlineStr">
        <is>
          <t>岩核蓄热</t>
        </is>
      </c>
      <c r="C48" t="inlineStr">
        <is>
          <t>被动</t>
        </is>
      </c>
      <c r="D48" t="n">
        <v>0</v>
      </c>
      <c r="E48" t="n">
        <v>0</v>
      </c>
      <c r="F48" t="n">
        <v>-1</v>
      </c>
      <c r="G48" t="inlineStr">
        <is>
          <t>自身</t>
        </is>
      </c>
      <c r="H48" t="inlineStr">
        <is>
          <t>岩核熔迹环</t>
        </is>
      </c>
      <c r="I48" t="inlineStr">
        <is>
          <t>被动：攻击+能量*0.03，穿透+(4+能量*0.005)</t>
        </is>
      </c>
    </row>
    <row r="49">
      <c r="A49" t="n">
        <v>-113</v>
      </c>
      <c r="B49" t="inlineStr">
        <is>
          <t>山崩地裂</t>
        </is>
      </c>
      <c r="C49" t="inlineStr">
        <is>
          <t>主动</t>
        </is>
      </c>
      <c r="D49" t="n">
        <v>50</v>
      </c>
      <c r="E49" t="n">
        <v>35</v>
      </c>
      <c r="F49" t="n">
        <v>10</v>
      </c>
      <c r="G49" t="inlineStr">
        <is>
          <t>敌方</t>
        </is>
      </c>
      <c r="H49" t="inlineStr">
        <is>
          <t>撼岳战盔、地裂蛮神铠、裂地撼山杵、崩裂行者、大地之心</t>
        </is>
      </c>
      <c r="I49" t="inlineStr">
        <is>
          <t>耗能50，CD35：敌方敏捷-50%，持续10回合，并造成最大生命*0.8伤害</t>
        </is>
      </c>
    </row>
    <row r="50">
      <c r="A50" t="n">
        <v>-112</v>
      </c>
      <c r="B50" t="inlineStr">
        <is>
          <t>封灵诀</t>
        </is>
      </c>
      <c r="C50" t="inlineStr">
        <is>
          <t>被动</t>
        </is>
      </c>
      <c r="D50" t="n">
        <v>0</v>
      </c>
      <c r="E50" t="n">
        <v>0</v>
      </c>
      <c r="F50" t="n">
        <v>-1</v>
      </c>
      <c r="G50" t="inlineStr">
        <is>
          <t>自身</t>
        </is>
      </c>
      <c r="H50" t="inlineStr">
        <is>
          <t>夜影封灵靴</t>
        </is>
      </c>
      <c r="I50" t="inlineStr">
        <is>
          <t>被动：能量上限-10%，获得等量敏捷提升（敏捷+最大能量*0.1）</t>
        </is>
      </c>
    </row>
    <row r="51">
      <c r="A51" t="n">
        <v>-111</v>
      </c>
      <c r="B51" t="inlineStr">
        <is>
          <t>封灵暗幕</t>
        </is>
      </c>
      <c r="C51" t="inlineStr">
        <is>
          <t>主动</t>
        </is>
      </c>
      <c r="D51" t="n">
        <v>20</v>
      </c>
      <c r="E51" t="n">
        <v>12</v>
      </c>
      <c r="F51" t="n">
        <v>5</v>
      </c>
      <c r="G51" t="inlineStr">
        <is>
          <t>敌方</t>
        </is>
      </c>
      <c r="H51" t="inlineStr">
        <is>
          <t>永夜封灵冠、暗影棱镜</t>
        </is>
      </c>
      <c r="I51" t="inlineStr">
        <is>
          <t>耗能20，CD12：敌方攻击-(15+能量*0.02)%、治疗-40%，持续5回合</t>
        </is>
      </c>
    </row>
    <row r="52">
      <c r="A52" t="n">
        <v>-110</v>
      </c>
      <c r="B52" t="inlineStr">
        <is>
          <t>守护</t>
        </is>
      </c>
      <c r="C52" t="inlineStr">
        <is>
          <t>被动</t>
        </is>
      </c>
      <c r="D52" t="n">
        <v>0</v>
      </c>
      <c r="E52" t="n">
        <v>0</v>
      </c>
      <c r="F52" t="n">
        <v>-1</v>
      </c>
      <c r="G52" t="inlineStr">
        <is>
          <t>自身</t>
        </is>
      </c>
      <c r="H52" t="inlineStr">
        <is>
          <t>隐秘-守护重锤</t>
        </is>
      </c>
      <c r="I52" t="inlineStr">
        <is>
          <t>被动：最终受伤-5%</t>
        </is>
      </c>
    </row>
    <row r="53">
      <c r="A53" t="n">
        <v>-109</v>
      </c>
      <c r="B53" t="inlineStr">
        <is>
          <t>回溯织线</t>
        </is>
      </c>
      <c r="C53" t="inlineStr">
        <is>
          <t>主动</t>
        </is>
      </c>
      <c r="D53" t="n">
        <v>35</v>
      </c>
      <c r="E53" t="n">
        <v>18</v>
      </c>
      <c r="F53" t="n">
        <v>3</v>
      </c>
      <c r="G53" t="inlineStr">
        <is>
          <t>自身</t>
        </is>
      </c>
      <c r="H53" t="inlineStr">
        <is>
          <t>时光之瞬面罩、永恒编织者甲胄、光阴秘钥</t>
        </is>
      </c>
      <c r="I53" t="inlineStr">
        <is>
          <t>耗能35，CD18：恢复最大生命*0.2+最大能量*0.1，最终受伤-(20+能量*0.01)%，持续3回合</t>
        </is>
      </c>
    </row>
    <row r="54">
      <c r="A54" t="n">
        <v>-108</v>
      </c>
      <c r="B54" t="inlineStr">
        <is>
          <t>哀霜咏叹</t>
        </is>
      </c>
      <c r="C54" t="inlineStr">
        <is>
          <t>主动</t>
        </is>
      </c>
      <c r="D54" t="n">
        <v>28</v>
      </c>
      <c r="E54" t="n">
        <v>12</v>
      </c>
      <c r="F54" t="n">
        <v>5</v>
      </c>
      <c r="G54" t="inlineStr">
        <is>
          <t>敌方</t>
        </is>
      </c>
      <c r="H54" t="inlineStr">
        <is>
          <t>哀霜咏叹杖</t>
        </is>
      </c>
      <c r="I54" t="inlineStr">
        <is>
          <t>耗能28，CD12：造成攻击+最大能量*0.8伤害，敌方防御/敏捷各-(15+能量*0.01)%，持续5回合</t>
        </is>
      </c>
    </row>
    <row r="55">
      <c r="A55" t="n">
        <v>-107</v>
      </c>
      <c r="B55" t="inlineStr">
        <is>
          <t>吞噬</t>
        </is>
      </c>
      <c r="C55" t="inlineStr">
        <is>
          <t>主动</t>
        </is>
      </c>
      <c r="D55" t="n">
        <v>45</v>
      </c>
      <c r="E55" t="n">
        <v>30</v>
      </c>
      <c r="F55" t="n">
        <v>2</v>
      </c>
      <c r="G55" t="inlineStr">
        <is>
          <t>敌方</t>
        </is>
      </c>
      <c r="H55" t="inlineStr">
        <is>
          <t>无尽吞噬甲、永饥之环</t>
        </is>
      </c>
      <c r="I55" t="inlineStr">
        <is>
          <t>耗能45，CD30：造成(最大能量+最大生命)*0.1真实伤害（不暴击），并眩晕2回合</t>
        </is>
      </c>
    </row>
    <row r="56">
      <c r="A56" t="n">
        <v>-106</v>
      </c>
      <c r="B56" t="inlineStr">
        <is>
          <t>光阴疾斩</t>
        </is>
      </c>
      <c r="C56" t="inlineStr">
        <is>
          <t>主动</t>
        </is>
      </c>
      <c r="D56" t="n">
        <v>28</v>
      </c>
      <c r="E56" t="n">
        <v>12</v>
      </c>
      <c r="F56" t="n">
        <v>1</v>
      </c>
      <c r="G56" t="inlineStr">
        <is>
          <t>敌方</t>
        </is>
      </c>
      <c r="H56" t="inlineStr">
        <is>
          <t>光阴巡猎战刃</t>
        </is>
      </c>
      <c r="I56" t="inlineStr">
        <is>
          <t>耗能28，CD12：造成攻击*1.3+敏捷*0.65+最大能量*0.5伤害，并必中1回合</t>
        </is>
      </c>
    </row>
    <row r="57">
      <c r="A57" t="n">
        <v>-105</v>
      </c>
      <c r="B57" t="inlineStr">
        <is>
          <t>光阴之力</t>
        </is>
      </c>
      <c r="C57" t="inlineStr">
        <is>
          <t>被动</t>
        </is>
      </c>
      <c r="D57" t="n">
        <v>0</v>
      </c>
      <c r="E57" t="n">
        <v>0</v>
      </c>
      <c r="F57" t="n">
        <v>-1</v>
      </c>
      <c r="G57" t="inlineStr">
        <is>
          <t>自身</t>
        </is>
      </c>
      <c r="H57" t="inlineStr">
        <is>
          <t>一寸朝夕、一寸暮色</t>
        </is>
      </c>
      <c r="I57" t="inlineStr">
        <is>
          <t>被动：攻击+15，破甲+15，敏捷+15</t>
        </is>
      </c>
    </row>
    <row r="58">
      <c r="A58" t="n">
        <v>-104</v>
      </c>
      <c r="B58" t="inlineStr">
        <is>
          <t>低语回响</t>
        </is>
      </c>
      <c r="C58" t="inlineStr">
        <is>
          <t>被动</t>
        </is>
      </c>
      <c r="D58" t="n">
        <v>0</v>
      </c>
      <c r="E58" t="n">
        <v>0</v>
      </c>
      <c r="F58" t="n">
        <v>-1</v>
      </c>
      <c r="G58" t="inlineStr">
        <is>
          <t>自身</t>
        </is>
      </c>
      <c r="H58" t="inlineStr">
        <is>
          <t>耳语帷幕斗篷、深渊回响之坠</t>
        </is>
      </c>
      <c r="I58" t="inlineStr">
        <is>
          <t>被动：普攻附带(能量*0.02+护甲强化等级+饰品强化等级)真实伤害</t>
        </is>
      </c>
    </row>
    <row r="59">
      <c r="A59" t="n">
        <v>-103</v>
      </c>
      <c r="B59" t="inlineStr">
        <is>
          <t>仲裁</t>
        </is>
      </c>
      <c r="C59" t="inlineStr">
        <is>
          <t>被动</t>
        </is>
      </c>
      <c r="D59" t="n">
        <v>0</v>
      </c>
      <c r="E59" t="n">
        <v>0</v>
      </c>
      <c r="F59" t="n">
        <v>-1</v>
      </c>
      <c r="G59" t="inlineStr">
        <is>
          <t>敌方</t>
        </is>
      </c>
      <c r="H59" t="inlineStr">
        <is>
          <t>界律仲裁之枪、界律镇守之冠</t>
        </is>
      </c>
      <c r="I59" t="inlineStr">
        <is>
          <t>被动：第3回合开始，敌方防御-15%</t>
        </is>
      </c>
    </row>
    <row r="60">
      <c r="A60" t="n">
        <v>-102</v>
      </c>
      <c r="B60" t="inlineStr">
        <is>
          <t>亡者均衡</t>
        </is>
      </c>
      <c r="C60" t="inlineStr">
        <is>
          <t>被动</t>
        </is>
      </c>
      <c r="D60" t="n">
        <v>0</v>
      </c>
      <c r="E60" t="n">
        <v>0</v>
      </c>
      <c r="F60" t="n">
        <v>-1</v>
      </c>
      <c r="G60" t="inlineStr">
        <is>
          <t>自身</t>
        </is>
      </c>
      <c r="H60" t="inlineStr">
        <is>
          <t>死灵均衡铠</t>
        </is>
      </c>
      <c r="I60" t="inlineStr">
        <is>
          <t>被动：敌方生命≥50%时最终受伤-(3+能量*0.01)%；&lt;50%时最终伤害+(3+能量*0.01)%</t>
        </is>
      </c>
    </row>
    <row r="61">
      <c r="A61" t="n">
        <v>-101</v>
      </c>
      <c r="B61" t="inlineStr">
        <is>
          <t>亚龙威仪</t>
        </is>
      </c>
      <c r="C61" t="inlineStr">
        <is>
          <t>被动</t>
        </is>
      </c>
      <c r="D61" t="n">
        <v>0</v>
      </c>
      <c r="E61" t="n">
        <v>0</v>
      </c>
      <c r="F61" t="n">
        <v>-1</v>
      </c>
      <c r="G61" t="inlineStr">
        <is>
          <t>自身</t>
        </is>
      </c>
      <c r="H61" t="inlineStr">
        <is>
          <t>隐秘-亚龙冠冕</t>
        </is>
      </c>
      <c r="I61" t="inlineStr">
        <is>
          <t>被动：第1回合攻击力提升50%</t>
        </is>
      </c>
    </row>
    <row r="62">
      <c r="A62" t="n">
        <v>-100</v>
      </c>
      <c r="B62" t="inlineStr">
        <is>
          <t>亘古庇佑</t>
        </is>
      </c>
      <c r="C62" t="inlineStr">
        <is>
          <t>主动</t>
        </is>
      </c>
      <c r="D62" t="n">
        <v>20</v>
      </c>
      <c r="E62" t="n">
        <v>20</v>
      </c>
      <c r="F62" t="n">
        <v>2</v>
      </c>
      <c r="G62" t="inlineStr">
        <is>
          <t>自身</t>
        </is>
      </c>
      <c r="H62" t="inlineStr">
        <is>
          <t>隐秘-亘古守卫之靴</t>
        </is>
      </c>
      <c r="I62" t="inlineStr">
        <is>
          <t>耗能20，CD20：最终受伤减免100%，持续2回合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LZQ</dc:creator>
  <dcterms:created xsi:type="dcterms:W3CDTF">2015-06-05T18:19:34Z</dcterms:created>
  <dcterms:modified xsi:type="dcterms:W3CDTF">2026-08-25T03:05:02Z</dcterms:modified>
  <cp:lastModifiedBy>智祺 刘</cp:lastModifiedBy>
</cp:coreProperties>
</file>